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edayo\Downloads\"/>
    </mc:Choice>
  </mc:AlternateContent>
  <xr:revisionPtr revIDLastSave="0" documentId="13_ncr:1_{1BFEE941-6BD8-4774-91E4-B627F9987607}" xr6:coauthVersionLast="47" xr6:coauthVersionMax="47" xr10:uidLastSave="{00000000-0000-0000-0000-000000000000}"/>
  <bookViews>
    <workbookView xWindow="21480" yWindow="-120" windowWidth="29040" windowHeight="15990" xr2:uid="{00000000-000D-0000-FFFF-FFFF00000000}"/>
  </bookViews>
  <sheets>
    <sheet name="Form responses 1" sheetId="1" r:id="rId1"/>
    <sheet name="Sheet1" sheetId="2" r:id="rId2"/>
    <sheet name="Sheet2" sheetId="3" r:id="rId3"/>
  </sheets>
  <definedNames>
    <definedName name="_xlnm._FilterDatabase" localSheetId="0" hidden="1">'Form responses 1'!$A$1:$AC$83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2" l="1" a="1"/>
  <c r="AA3" i="2" s="1"/>
  <c r="AA4" i="2" a="1"/>
  <c r="AA4" i="2"/>
  <c r="AA5" i="2" a="1"/>
  <c r="AA5" i="2" s="1"/>
  <c r="AA6" i="2" a="1"/>
  <c r="AA6" i="2"/>
  <c r="AA7" i="2" a="1"/>
  <c r="AA7" i="2" s="1"/>
  <c r="AA8" i="2" a="1"/>
  <c r="AA8" i="2"/>
  <c r="AA9" i="2" a="1"/>
  <c r="AA9" i="2" s="1"/>
  <c r="AA10" i="2" a="1"/>
  <c r="AA10" i="2"/>
  <c r="AA11" i="2" a="1"/>
  <c r="AA11" i="2" s="1"/>
  <c r="AA12" i="2" a="1"/>
  <c r="AA12" i="2"/>
  <c r="AA13" i="2" a="1"/>
  <c r="AA13" i="2" s="1"/>
  <c r="AA14" i="2" a="1"/>
  <c r="AA14" i="2"/>
  <c r="AA15" i="2" a="1"/>
  <c r="AA15" i="2" s="1"/>
  <c r="AA16" i="2" a="1"/>
  <c r="AA16" i="2"/>
  <c r="AA17" i="2" a="1"/>
  <c r="AA17" i="2" s="1"/>
  <c r="AA18" i="2" a="1"/>
  <c r="AA18" i="2"/>
  <c r="AA19" i="2" a="1"/>
  <c r="AA19" i="2" s="1"/>
  <c r="AA20" i="2" a="1"/>
  <c r="AA20" i="2"/>
  <c r="AA21" i="2" a="1"/>
  <c r="AA21" i="2" s="1"/>
  <c r="AA22" i="2" a="1"/>
  <c r="AA22" i="2"/>
  <c r="AA23" i="2" a="1"/>
  <c r="AA23" i="2" s="1"/>
  <c r="AA24" i="2" a="1"/>
  <c r="AA24" i="2"/>
  <c r="AA25" i="2" a="1"/>
  <c r="AA25" i="2" s="1"/>
  <c r="AA26" i="2" a="1"/>
  <c r="AA26" i="2"/>
  <c r="AA27" i="2" a="1"/>
  <c r="AA27" i="2" s="1"/>
  <c r="AA28" i="2" a="1"/>
  <c r="AA28" i="2"/>
  <c r="AA29" i="2" a="1"/>
  <c r="AA29" i="2" s="1"/>
  <c r="AA30" i="2" a="1"/>
  <c r="AA30" i="2"/>
  <c r="AA31" i="2" a="1"/>
  <c r="AA31" i="2" s="1"/>
  <c r="AA32" i="2" a="1"/>
  <c r="AA32" i="2"/>
  <c r="AA33" i="2" a="1"/>
  <c r="AA33" i="2" s="1"/>
  <c r="AA34" i="2" a="1"/>
  <c r="AA34" i="2"/>
  <c r="AA35" i="2" a="1"/>
  <c r="AA35" i="2" s="1"/>
  <c r="AA36" i="2" a="1"/>
  <c r="AA36" i="2"/>
  <c r="AA37" i="2" a="1"/>
  <c r="AA37" i="2" s="1"/>
  <c r="AA38" i="2" a="1"/>
  <c r="AA38" i="2"/>
  <c r="AA39" i="2" a="1"/>
  <c r="AA39" i="2" s="1"/>
  <c r="AA40" i="2" a="1"/>
  <c r="AA40" i="2"/>
  <c r="AA41" i="2" a="1"/>
  <c r="AA41" i="2" s="1"/>
  <c r="AA42" i="2" a="1"/>
  <c r="AA42" i="2"/>
  <c r="AA43" i="2" a="1"/>
  <c r="AA43" i="2" s="1"/>
  <c r="AA44" i="2" a="1"/>
  <c r="AA44" i="2"/>
  <c r="AA45" i="2" a="1"/>
  <c r="AA45" i="2" s="1"/>
  <c r="AA46" i="2" a="1"/>
  <c r="AA46" i="2"/>
  <c r="AA47" i="2" a="1"/>
  <c r="AA47" i="2" s="1"/>
  <c r="AA48" i="2" a="1"/>
  <c r="AA48" i="2"/>
  <c r="AA49" i="2" a="1"/>
  <c r="AA49" i="2" s="1"/>
  <c r="AA50" i="2" a="1"/>
  <c r="AA50" i="2"/>
  <c r="AA51" i="2" a="1"/>
  <c r="AA51" i="2" s="1"/>
  <c r="AA52" i="2" a="1"/>
  <c r="AA52" i="2"/>
  <c r="AA53" i="2" a="1"/>
  <c r="AA53" i="2" s="1"/>
  <c r="AA54" i="2" a="1"/>
  <c r="AA54" i="2"/>
  <c r="AA55" i="2" a="1"/>
  <c r="AA55" i="2" s="1"/>
  <c r="AA56" i="2" a="1"/>
  <c r="AA56" i="2"/>
  <c r="AA57" i="2" a="1"/>
  <c r="AA57" i="2" s="1"/>
  <c r="AA58" i="2" a="1"/>
  <c r="AA58" i="2"/>
  <c r="AA59" i="2" a="1"/>
  <c r="AA59" i="2" s="1"/>
  <c r="AA60" i="2" a="1"/>
  <c r="AA60" i="2"/>
  <c r="AA61" i="2" a="1"/>
  <c r="AA61" i="2" s="1"/>
  <c r="AA62" i="2" a="1"/>
  <c r="AA62" i="2"/>
  <c r="AA63" i="2" a="1"/>
  <c r="AA63" i="2" s="1"/>
  <c r="AA64" i="2" a="1"/>
  <c r="AA64" i="2"/>
  <c r="AA65" i="2" a="1"/>
  <c r="AA65" i="2" s="1"/>
  <c r="AA66" i="2" a="1"/>
  <c r="AA66" i="2"/>
  <c r="AA67" i="2" a="1"/>
  <c r="AA67" i="2" s="1"/>
  <c r="AA68" i="2" a="1"/>
  <c r="AA68" i="2"/>
  <c r="AA69" i="2" a="1"/>
  <c r="AA69" i="2" s="1"/>
  <c r="AA70" i="2" a="1"/>
  <c r="AA70" i="2"/>
  <c r="AA71" i="2" a="1"/>
  <c r="AA71" i="2" s="1"/>
  <c r="AA72" i="2" a="1"/>
  <c r="AA72" i="2"/>
  <c r="AA73" i="2" a="1"/>
  <c r="AA73" i="2" s="1"/>
  <c r="AA74" i="2" a="1"/>
  <c r="AA74" i="2"/>
  <c r="AA75" i="2" a="1"/>
  <c r="AA75" i="2" s="1"/>
  <c r="AA76" i="2" a="1"/>
  <c r="AA76" i="2"/>
  <c r="AA77" i="2" a="1"/>
  <c r="AA77" i="2" s="1"/>
  <c r="AA78" i="2" a="1"/>
  <c r="AA78" i="2"/>
  <c r="AA79" i="2" a="1"/>
  <c r="AA79" i="2" s="1"/>
  <c r="AA80" i="2" a="1"/>
  <c r="AA80" i="2"/>
  <c r="AA81" i="2" a="1"/>
  <c r="AA81" i="2" s="1"/>
  <c r="AA82" i="2" a="1"/>
  <c r="AA82" i="2"/>
  <c r="AA83" i="2" a="1"/>
  <c r="AA83" i="2" s="1"/>
  <c r="AA2" i="2" a="1"/>
  <c r="AA2" i="2" s="1"/>
  <c r="AB3" i="2" a="1"/>
  <c r="AB3" i="2"/>
  <c r="AC3" i="2" a="1"/>
  <c r="AC3" i="2" s="1"/>
  <c r="AB4" i="2" a="1"/>
  <c r="AB4" i="2" s="1"/>
  <c r="AC4" i="2" a="1"/>
  <c r="AC4" i="2" s="1"/>
  <c r="AB5" i="2" a="1"/>
  <c r="AB5" i="2"/>
  <c r="AC5" i="2" a="1"/>
  <c r="AC5" i="2" s="1"/>
  <c r="AB6" i="2" a="1"/>
  <c r="AB6" i="2" s="1"/>
  <c r="AC6" i="2" a="1"/>
  <c r="AC6" i="2" s="1"/>
  <c r="AB7" i="2" a="1"/>
  <c r="AB7" i="2" s="1"/>
  <c r="AC7" i="2" a="1"/>
  <c r="AC7" i="2" s="1"/>
  <c r="AB8" i="2" a="1"/>
  <c r="AB8" i="2" s="1"/>
  <c r="AC8" i="2" a="1"/>
  <c r="AC8" i="2"/>
  <c r="AB9" i="2" a="1"/>
  <c r="AB9" i="2" s="1"/>
  <c r="AC9" i="2" a="1"/>
  <c r="AC9" i="2" s="1"/>
  <c r="AB10" i="2" a="1"/>
  <c r="AB10" i="2" s="1"/>
  <c r="AC10" i="2" a="1"/>
  <c r="AC10" i="2"/>
  <c r="AB11" i="2" a="1"/>
  <c r="AB11" i="2"/>
  <c r="AC11" i="2" a="1"/>
  <c r="AC11" i="2" s="1"/>
  <c r="AB12" i="2" a="1"/>
  <c r="AB12" i="2" s="1"/>
  <c r="AC12" i="2" a="1"/>
  <c r="AC12" i="2" s="1"/>
  <c r="AB13" i="2" a="1"/>
  <c r="AB13" i="2"/>
  <c r="AC13" i="2" a="1"/>
  <c r="AC13" i="2" s="1"/>
  <c r="AB14" i="2" a="1"/>
  <c r="AB14" i="2" s="1"/>
  <c r="AC14" i="2" a="1"/>
  <c r="AC14" i="2" s="1"/>
  <c r="AB15" i="2" a="1"/>
  <c r="AB15" i="2" s="1"/>
  <c r="AC15" i="2" a="1"/>
  <c r="AC15" i="2" s="1"/>
  <c r="AB16" i="2" a="1"/>
  <c r="AB16" i="2" s="1"/>
  <c r="AC16" i="2" a="1"/>
  <c r="AC16" i="2"/>
  <c r="AB17" i="2" a="1"/>
  <c r="AB17" i="2" s="1"/>
  <c r="AC17" i="2" a="1"/>
  <c r="AC17" i="2" s="1"/>
  <c r="AB18" i="2" a="1"/>
  <c r="AB18" i="2" s="1"/>
  <c r="AC18" i="2" a="1"/>
  <c r="AC18" i="2"/>
  <c r="AB19" i="2" a="1"/>
  <c r="AB19" i="2" s="1"/>
  <c r="AC19" i="2" a="1"/>
  <c r="AC19" i="2" s="1"/>
  <c r="AB20" i="2" a="1"/>
  <c r="AB20" i="2" s="1"/>
  <c r="AC20" i="2" a="1"/>
  <c r="AC20" i="2" s="1"/>
  <c r="AB21" i="2" a="1"/>
  <c r="AB21" i="2"/>
  <c r="AC21" i="2" a="1"/>
  <c r="AC21" i="2" s="1"/>
  <c r="AB22" i="2" a="1"/>
  <c r="AB22" i="2" s="1"/>
  <c r="AC22" i="2" a="1"/>
  <c r="AC22" i="2" s="1"/>
  <c r="AB23" i="2" a="1"/>
  <c r="AB23" i="2" s="1"/>
  <c r="AC23" i="2" a="1"/>
  <c r="AC23" i="2" s="1"/>
  <c r="AB24" i="2" a="1"/>
  <c r="AB24" i="2" s="1"/>
  <c r="AC24" i="2" a="1"/>
  <c r="AC24" i="2"/>
  <c r="AB25" i="2" a="1"/>
  <c r="AB25" i="2" s="1"/>
  <c r="AC25" i="2" a="1"/>
  <c r="AC25" i="2" s="1"/>
  <c r="AB26" i="2" a="1"/>
  <c r="AB26" i="2" s="1"/>
  <c r="AC26" i="2" a="1"/>
  <c r="AC26" i="2"/>
  <c r="AB27" i="2" a="1"/>
  <c r="AB27" i="2" s="1"/>
  <c r="AC27" i="2" a="1"/>
  <c r="AC27" i="2" s="1"/>
  <c r="AB28" i="2" a="1"/>
  <c r="AB28" i="2" s="1"/>
  <c r="AC28" i="2" a="1"/>
  <c r="AC28" i="2" s="1"/>
  <c r="AB29" i="2" a="1"/>
  <c r="AB29" i="2"/>
  <c r="AC29" i="2" a="1"/>
  <c r="AC29" i="2" s="1"/>
  <c r="AB30" i="2" a="1"/>
  <c r="AB30" i="2" s="1"/>
  <c r="AC30" i="2" a="1"/>
  <c r="AC30" i="2" s="1"/>
  <c r="AB31" i="2" a="1"/>
  <c r="AB31" i="2" s="1"/>
  <c r="AC31" i="2" a="1"/>
  <c r="AC31" i="2" s="1"/>
  <c r="AB32" i="2" a="1"/>
  <c r="AB32" i="2" s="1"/>
  <c r="AC32" i="2" a="1"/>
  <c r="AC32" i="2" s="1"/>
  <c r="AB33" i="2" a="1"/>
  <c r="AB33" i="2" s="1"/>
  <c r="AC33" i="2" a="1"/>
  <c r="AC33" i="2" s="1"/>
  <c r="AB34" i="2" a="1"/>
  <c r="AB34" i="2" s="1"/>
  <c r="AC34" i="2" a="1"/>
  <c r="AC34" i="2"/>
  <c r="AB35" i="2" a="1"/>
  <c r="AB35" i="2" s="1"/>
  <c r="AC35" i="2" a="1"/>
  <c r="AC35" i="2" s="1"/>
  <c r="AB36" i="2" a="1"/>
  <c r="AB36" i="2" s="1"/>
  <c r="AC36" i="2" a="1"/>
  <c r="AC36" i="2" s="1"/>
  <c r="AB37" i="2" a="1"/>
  <c r="AB37" i="2"/>
  <c r="AC37" i="2" a="1"/>
  <c r="AC37" i="2" s="1"/>
  <c r="AB38" i="2" a="1"/>
  <c r="AB38" i="2" s="1"/>
  <c r="AC38" i="2" a="1"/>
  <c r="AC38" i="2" s="1"/>
  <c r="AB39" i="2" a="1"/>
  <c r="AB39" i="2" s="1"/>
  <c r="AC39" i="2" a="1"/>
  <c r="AC39" i="2" s="1"/>
  <c r="AB40" i="2" a="1"/>
  <c r="AB40" i="2" s="1"/>
  <c r="AC40" i="2" a="1"/>
  <c r="AC40" i="2"/>
  <c r="AB41" i="2" a="1"/>
  <c r="AB41" i="2" s="1"/>
  <c r="AC41" i="2" a="1"/>
  <c r="AC41" i="2" s="1"/>
  <c r="AB42" i="2" a="1"/>
  <c r="AB42" i="2" s="1"/>
  <c r="AC42" i="2" a="1"/>
  <c r="AC42" i="2"/>
  <c r="AB43" i="2" a="1"/>
  <c r="AB43" i="2" s="1"/>
  <c r="AC43" i="2" a="1"/>
  <c r="AC43" i="2" s="1"/>
  <c r="AB44" i="2" a="1"/>
  <c r="AB44" i="2" s="1"/>
  <c r="AC44" i="2" a="1"/>
  <c r="AC44" i="2" s="1"/>
  <c r="AB45" i="2" a="1"/>
  <c r="AB45" i="2"/>
  <c r="AC45" i="2" a="1"/>
  <c r="AC45" i="2" s="1"/>
  <c r="AB46" i="2" a="1"/>
  <c r="AB46" i="2" s="1"/>
  <c r="AC46" i="2" a="1"/>
  <c r="AC46" i="2" s="1"/>
  <c r="AB47" i="2" a="1"/>
  <c r="AB47" i="2" s="1"/>
  <c r="AC47" i="2" a="1"/>
  <c r="AC47" i="2" s="1"/>
  <c r="AB48" i="2" a="1"/>
  <c r="AB48" i="2" s="1"/>
  <c r="AC48" i="2" a="1"/>
  <c r="AC48" i="2"/>
  <c r="AB49" i="2" a="1"/>
  <c r="AB49" i="2" s="1"/>
  <c r="AC49" i="2" a="1"/>
  <c r="AC49" i="2" s="1"/>
  <c r="AB50" i="2" a="1"/>
  <c r="AB50" i="2" s="1"/>
  <c r="AC50" i="2" a="1"/>
  <c r="AC50" i="2"/>
  <c r="AB51" i="2" a="1"/>
  <c r="AB51" i="2" s="1"/>
  <c r="AC51" i="2" a="1"/>
  <c r="AC51" i="2" s="1"/>
  <c r="AB52" i="2" a="1"/>
  <c r="AB52" i="2" s="1"/>
  <c r="AC52" i="2" a="1"/>
  <c r="AC52" i="2" s="1"/>
  <c r="AB53" i="2" a="1"/>
  <c r="AB53" i="2"/>
  <c r="AC53" i="2" a="1"/>
  <c r="AC53" i="2" s="1"/>
  <c r="AB54" i="2" a="1"/>
  <c r="AB54" i="2" s="1"/>
  <c r="AC54" i="2" a="1"/>
  <c r="AC54" i="2" s="1"/>
  <c r="AB55" i="2" a="1"/>
  <c r="AB55" i="2" s="1"/>
  <c r="AC55" i="2" a="1"/>
  <c r="AC55" i="2" s="1"/>
  <c r="AB56" i="2" a="1"/>
  <c r="AB56" i="2" s="1"/>
  <c r="AC56" i="2" a="1"/>
  <c r="AC56" i="2"/>
  <c r="AB57" i="2" a="1"/>
  <c r="AB57" i="2" s="1"/>
  <c r="AC57" i="2" a="1"/>
  <c r="AC57" i="2" s="1"/>
  <c r="AB58" i="2" a="1"/>
  <c r="AB58" i="2" s="1"/>
  <c r="AC58" i="2" a="1"/>
  <c r="AC58" i="2"/>
  <c r="AB59" i="2" a="1"/>
  <c r="AB59" i="2" s="1"/>
  <c r="AC59" i="2" a="1"/>
  <c r="AC59" i="2" s="1"/>
  <c r="AB60" i="2" a="1"/>
  <c r="AB60" i="2" s="1"/>
  <c r="AC60" i="2" a="1"/>
  <c r="AC60" i="2" s="1"/>
  <c r="AB61" i="2" a="1"/>
  <c r="AB61" i="2" s="1"/>
  <c r="AC61" i="2" a="1"/>
  <c r="AC61" i="2" s="1"/>
  <c r="AB62" i="2" a="1"/>
  <c r="AB62" i="2" s="1"/>
  <c r="AC62" i="2" a="1"/>
  <c r="AC62" i="2" s="1"/>
  <c r="AB63" i="2" a="1"/>
  <c r="AB63" i="2" s="1"/>
  <c r="AC63" i="2" a="1"/>
  <c r="AC63" i="2" s="1"/>
  <c r="AB64" i="2" a="1"/>
  <c r="AB64" i="2" s="1"/>
  <c r="AC64" i="2" a="1"/>
  <c r="AC64" i="2" s="1"/>
  <c r="AB65" i="2" a="1"/>
  <c r="AB65" i="2" s="1"/>
  <c r="AC65" i="2" a="1"/>
  <c r="AC65" i="2" s="1"/>
  <c r="AB66" i="2" a="1"/>
  <c r="AB66" i="2" s="1"/>
  <c r="AC66" i="2" a="1"/>
  <c r="AC66" i="2" s="1"/>
  <c r="AB67" i="2" a="1"/>
  <c r="AB67" i="2" s="1"/>
  <c r="AC67" i="2" a="1"/>
  <c r="AC67" i="2" s="1"/>
  <c r="AB68" i="2" a="1"/>
  <c r="AB68" i="2" s="1"/>
  <c r="AC68" i="2" a="1"/>
  <c r="AC68" i="2" s="1"/>
  <c r="AB69" i="2" a="1"/>
  <c r="AB69" i="2" s="1"/>
  <c r="AC69" i="2" a="1"/>
  <c r="AC69" i="2" s="1"/>
  <c r="AB70" i="2" a="1"/>
  <c r="AB70" i="2" s="1"/>
  <c r="AC70" i="2" a="1"/>
  <c r="AC70" i="2" s="1"/>
  <c r="AB71" i="2" a="1"/>
  <c r="AB71" i="2" s="1"/>
  <c r="AC71" i="2" a="1"/>
  <c r="AC71" i="2" s="1"/>
  <c r="AB72" i="2" a="1"/>
  <c r="AB72" i="2" s="1"/>
  <c r="AC72" i="2" a="1"/>
  <c r="AC72" i="2" s="1"/>
  <c r="AB73" i="2" a="1"/>
  <c r="AB73" i="2" s="1"/>
  <c r="AC73" i="2" a="1"/>
  <c r="AC73" i="2" s="1"/>
  <c r="AB74" i="2" a="1"/>
  <c r="AB74" i="2" s="1"/>
  <c r="AC74" i="2" a="1"/>
  <c r="AC74" i="2" s="1"/>
  <c r="AB75" i="2" a="1"/>
  <c r="AB75" i="2" s="1"/>
  <c r="AC75" i="2" a="1"/>
  <c r="AC75" i="2" s="1"/>
  <c r="AB76" i="2" a="1"/>
  <c r="AB76" i="2" s="1"/>
  <c r="AC76" i="2" a="1"/>
  <c r="AC76" i="2" s="1"/>
  <c r="AB77" i="2" a="1"/>
  <c r="AB77" i="2" s="1"/>
  <c r="AC77" i="2" a="1"/>
  <c r="AC77" i="2" s="1"/>
  <c r="AB78" i="2" a="1"/>
  <c r="AB78" i="2" s="1"/>
  <c r="AC78" i="2" a="1"/>
  <c r="AC78" i="2" s="1"/>
  <c r="AB79" i="2" a="1"/>
  <c r="AB79" i="2" s="1"/>
  <c r="AC79" i="2" a="1"/>
  <c r="AC79" i="2" s="1"/>
  <c r="AB80" i="2" a="1"/>
  <c r="AB80" i="2" s="1"/>
  <c r="AC80" i="2" a="1"/>
  <c r="AC80" i="2" s="1"/>
  <c r="AB81" i="2" a="1"/>
  <c r="AB81" i="2" s="1"/>
  <c r="AC81" i="2" a="1"/>
  <c r="AC81" i="2" s="1"/>
  <c r="AB82" i="2" a="1"/>
  <c r="AB82" i="2" s="1"/>
  <c r="AC82" i="2" a="1"/>
  <c r="AC82" i="2" s="1"/>
  <c r="AB83" i="2" a="1"/>
  <c r="AB83" i="2" s="1"/>
  <c r="AC83" i="2" a="1"/>
  <c r="AC83" i="2" s="1"/>
  <c r="AC2" i="2" a="1"/>
  <c r="AC2" i="2" s="1"/>
  <c r="AB2" i="2" a="1"/>
  <c r="AB2" i="2" s="1"/>
  <c r="U3" i="2" a="1"/>
  <c r="U3" i="2" s="1"/>
  <c r="V3" i="2" a="1"/>
  <c r="V3" i="2"/>
  <c r="W3" i="2" a="1"/>
  <c r="W3" i="2" s="1"/>
  <c r="X3" i="2" a="1"/>
  <c r="X3" i="2"/>
  <c r="Y3" i="2" a="1"/>
  <c r="Y3" i="2" s="1"/>
  <c r="Z3" i="2" a="1"/>
  <c r="Z3" i="2"/>
  <c r="U4" i="2" a="1"/>
  <c r="U4" i="2" s="1"/>
  <c r="V4" i="2" a="1"/>
  <c r="V4" i="2"/>
  <c r="W4" i="2" a="1"/>
  <c r="W4" i="2" s="1"/>
  <c r="X4" i="2" a="1"/>
  <c r="X4" i="2" s="1"/>
  <c r="Y4" i="2" a="1"/>
  <c r="Y4" i="2" s="1"/>
  <c r="Z4" i="2" a="1"/>
  <c r="Z4" i="2" s="1"/>
  <c r="U5" i="2" a="1"/>
  <c r="U5" i="2" s="1"/>
  <c r="V5" i="2" a="1"/>
  <c r="V5" i="2" s="1"/>
  <c r="W5" i="2" a="1"/>
  <c r="W5" i="2" s="1"/>
  <c r="X5" i="2" a="1"/>
  <c r="X5" i="2"/>
  <c r="Y5" i="2" a="1"/>
  <c r="Y5" i="2" s="1"/>
  <c r="Z5" i="2" a="1"/>
  <c r="Z5" i="2"/>
  <c r="U6" i="2" a="1"/>
  <c r="U6" i="2" s="1"/>
  <c r="V6" i="2" a="1"/>
  <c r="V6" i="2" s="1"/>
  <c r="W6" i="2" a="1"/>
  <c r="W6" i="2" s="1"/>
  <c r="X6" i="2" a="1"/>
  <c r="X6" i="2" s="1"/>
  <c r="Y6" i="2" a="1"/>
  <c r="Y6" i="2" s="1"/>
  <c r="Z6" i="2" a="1"/>
  <c r="Z6" i="2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 s="1"/>
  <c r="U8" i="2" a="1"/>
  <c r="U8" i="2" s="1"/>
  <c r="V8" i="2" a="1"/>
  <c r="V8" i="2"/>
  <c r="W8" i="2" a="1"/>
  <c r="W8" i="2" s="1"/>
  <c r="X8" i="2" a="1"/>
  <c r="X8" i="2" s="1"/>
  <c r="Y8" i="2" a="1"/>
  <c r="Y8" i="2" s="1"/>
  <c r="Z8" i="2" a="1"/>
  <c r="Z8" i="2" s="1"/>
  <c r="U9" i="2" a="1"/>
  <c r="U9" i="2" s="1"/>
  <c r="V9" i="2" a="1"/>
  <c r="V9" i="2" s="1"/>
  <c r="W9" i="2" a="1"/>
  <c r="W9" i="2" s="1"/>
  <c r="X9" i="2" a="1"/>
  <c r="X9" i="2"/>
  <c r="Y9" i="2" a="1"/>
  <c r="Y9" i="2" s="1"/>
  <c r="Z9" i="2" a="1"/>
  <c r="Z9" i="2"/>
  <c r="U10" i="2" a="1"/>
  <c r="U10" i="2" s="1"/>
  <c r="V10" i="2" a="1"/>
  <c r="V10" i="2" s="1"/>
  <c r="W10" i="2" a="1"/>
  <c r="W10" i="2" s="1"/>
  <c r="X10" i="2" a="1"/>
  <c r="X10" i="2" s="1"/>
  <c r="Y10" i="2" a="1"/>
  <c r="Y10" i="2" s="1"/>
  <c r="Z10" i="2" a="1"/>
  <c r="Z10" i="2"/>
  <c r="U11" i="2" a="1"/>
  <c r="U11" i="2" s="1"/>
  <c r="V11" i="2" a="1"/>
  <c r="V11" i="2" s="1"/>
  <c r="W11" i="2" a="1"/>
  <c r="W11" i="2" s="1"/>
  <c r="X11" i="2" a="1"/>
  <c r="X11" i="2" s="1"/>
  <c r="Y11" i="2" a="1"/>
  <c r="Y11" i="2" s="1"/>
  <c r="Z11" i="2" a="1"/>
  <c r="Z11" i="2" s="1"/>
  <c r="U12" i="2" a="1"/>
  <c r="U12" i="2" s="1"/>
  <c r="V12" i="2" a="1"/>
  <c r="V12" i="2"/>
  <c r="W12" i="2" a="1"/>
  <c r="W12" i="2" s="1"/>
  <c r="X12" i="2" a="1"/>
  <c r="X12" i="2" s="1"/>
  <c r="Y12" i="2" a="1"/>
  <c r="Y12" i="2" s="1"/>
  <c r="Z12" i="2" a="1"/>
  <c r="Z12" i="2" s="1"/>
  <c r="U13" i="2" a="1"/>
  <c r="U13" i="2" s="1"/>
  <c r="V13" i="2" a="1"/>
  <c r="V13" i="2" s="1"/>
  <c r="W13" i="2" a="1"/>
  <c r="W13" i="2" s="1"/>
  <c r="X13" i="2" a="1"/>
  <c r="X13" i="2"/>
  <c r="Y13" i="2" a="1"/>
  <c r="Y13" i="2" s="1"/>
  <c r="Z13" i="2" a="1"/>
  <c r="Z13" i="2"/>
  <c r="U14" i="2" a="1"/>
  <c r="U14" i="2" s="1"/>
  <c r="V14" i="2" a="1"/>
  <c r="V14" i="2" s="1"/>
  <c r="W14" i="2" a="1"/>
  <c r="W14" i="2" s="1"/>
  <c r="X14" i="2" a="1"/>
  <c r="X14" i="2" s="1"/>
  <c r="Y14" i="2" a="1"/>
  <c r="Y14" i="2" s="1"/>
  <c r="Z14" i="2" a="1"/>
  <c r="Z14" i="2"/>
  <c r="U15" i="2" a="1"/>
  <c r="U15" i="2" s="1"/>
  <c r="V15" i="2" a="1"/>
  <c r="V15" i="2"/>
  <c r="W15" i="2" a="1"/>
  <c r="W15" i="2" s="1"/>
  <c r="X15" i="2" a="1"/>
  <c r="X15" i="2" s="1"/>
  <c r="Y15" i="2" a="1"/>
  <c r="Y15" i="2" s="1"/>
  <c r="Z15" i="2" a="1"/>
  <c r="Z15" i="2" s="1"/>
  <c r="U16" i="2" a="1"/>
  <c r="U16" i="2" s="1"/>
  <c r="V16" i="2" a="1"/>
  <c r="V16" i="2"/>
  <c r="W16" i="2" a="1"/>
  <c r="W16" i="2" s="1"/>
  <c r="X16" i="2" a="1"/>
  <c r="X16" i="2" s="1"/>
  <c r="Y16" i="2" a="1"/>
  <c r="Y16" i="2" s="1"/>
  <c r="Z16" i="2" a="1"/>
  <c r="Z16" i="2" s="1"/>
  <c r="U17" i="2" a="1"/>
  <c r="U17" i="2" s="1"/>
  <c r="V17" i="2" a="1"/>
  <c r="V17" i="2" s="1"/>
  <c r="W17" i="2" a="1"/>
  <c r="W17" i="2" s="1"/>
  <c r="X17" i="2" a="1"/>
  <c r="X17" i="2"/>
  <c r="Y17" i="2" a="1"/>
  <c r="Y17" i="2" s="1"/>
  <c r="Z17" i="2" a="1"/>
  <c r="Z17" i="2" s="1"/>
  <c r="U18" i="2" a="1"/>
  <c r="U18" i="2" s="1"/>
  <c r="V18" i="2" a="1"/>
  <c r="V18" i="2" s="1"/>
  <c r="W18" i="2" a="1"/>
  <c r="W18" i="2" s="1"/>
  <c r="X18" i="2" a="1"/>
  <c r="X18" i="2" s="1"/>
  <c r="Y18" i="2" a="1"/>
  <c r="Y18" i="2" s="1"/>
  <c r="Z18" i="2" a="1"/>
  <c r="Z18" i="2"/>
  <c r="U19" i="2" a="1"/>
  <c r="U19" i="2" s="1"/>
  <c r="V19" i="2" a="1"/>
  <c r="V19" i="2"/>
  <c r="W19" i="2" a="1"/>
  <c r="W19" i="2" s="1"/>
  <c r="X19" i="2" a="1"/>
  <c r="X19" i="2" s="1"/>
  <c r="Y19" i="2" a="1"/>
  <c r="Y19" i="2" s="1"/>
  <c r="Z19" i="2" a="1"/>
  <c r="Z19" i="2" s="1"/>
  <c r="U20" i="2" a="1"/>
  <c r="U20" i="2" s="1"/>
  <c r="V20" i="2" a="1"/>
  <c r="V20" i="2"/>
  <c r="W20" i="2" a="1"/>
  <c r="W20" i="2" s="1"/>
  <c r="X20" i="2" a="1"/>
  <c r="X20" i="2" s="1"/>
  <c r="Y20" i="2" a="1"/>
  <c r="Y20" i="2" s="1"/>
  <c r="Z20" i="2" a="1"/>
  <c r="Z20" i="2" s="1"/>
  <c r="U21" i="2" a="1"/>
  <c r="U21" i="2" s="1"/>
  <c r="V21" i="2" a="1"/>
  <c r="V21" i="2" s="1"/>
  <c r="W21" i="2" a="1"/>
  <c r="W21" i="2" s="1"/>
  <c r="X21" i="2" a="1"/>
  <c r="X21" i="2"/>
  <c r="Y21" i="2" a="1"/>
  <c r="Y21" i="2" s="1"/>
  <c r="Z21" i="2" a="1"/>
  <c r="Z21" i="2"/>
  <c r="U22" i="2" a="1"/>
  <c r="U22" i="2" s="1"/>
  <c r="V22" i="2" a="1"/>
  <c r="V22" i="2" s="1"/>
  <c r="W22" i="2" a="1"/>
  <c r="W22" i="2" s="1"/>
  <c r="X22" i="2" a="1"/>
  <c r="X22" i="2" s="1"/>
  <c r="Y22" i="2" a="1"/>
  <c r="Y22" i="2" s="1"/>
  <c r="Z22" i="2" a="1"/>
  <c r="Z22" i="2"/>
  <c r="U23" i="2" a="1"/>
  <c r="U23" i="2" s="1"/>
  <c r="V23" i="2" a="1"/>
  <c r="V23" i="2"/>
  <c r="W23" i="2" a="1"/>
  <c r="W23" i="2" s="1"/>
  <c r="X23" i="2" a="1"/>
  <c r="X23" i="2" s="1"/>
  <c r="Y23" i="2" a="1"/>
  <c r="Y23" i="2" s="1"/>
  <c r="Z23" i="2" a="1"/>
  <c r="Z23" i="2" s="1"/>
  <c r="U24" i="2" a="1"/>
  <c r="U24" i="2" s="1"/>
  <c r="V24" i="2" a="1"/>
  <c r="V24" i="2"/>
  <c r="W24" i="2" a="1"/>
  <c r="W24" i="2" s="1"/>
  <c r="X24" i="2" a="1"/>
  <c r="X24" i="2" s="1"/>
  <c r="Y24" i="2" a="1"/>
  <c r="Y24" i="2" s="1"/>
  <c r="Z24" i="2" a="1"/>
  <c r="Z24" i="2" s="1"/>
  <c r="U25" i="2" a="1"/>
  <c r="U25" i="2" s="1"/>
  <c r="V25" i="2" a="1"/>
  <c r="V25" i="2" s="1"/>
  <c r="W25" i="2" a="1"/>
  <c r="W25" i="2" s="1"/>
  <c r="X25" i="2" a="1"/>
  <c r="X25" i="2"/>
  <c r="Y25" i="2" a="1"/>
  <c r="Y25" i="2" s="1"/>
  <c r="Z25" i="2" a="1"/>
  <c r="Z25" i="2"/>
  <c r="U26" i="2" a="1"/>
  <c r="U26" i="2" s="1"/>
  <c r="V26" i="2" a="1"/>
  <c r="V26" i="2" s="1"/>
  <c r="W26" i="2" a="1"/>
  <c r="W26" i="2" s="1"/>
  <c r="X26" i="2" a="1"/>
  <c r="X26" i="2" s="1"/>
  <c r="Y26" i="2" a="1"/>
  <c r="Y26" i="2" s="1"/>
  <c r="Z26" i="2" a="1"/>
  <c r="Z26" i="2"/>
  <c r="U27" i="2" a="1"/>
  <c r="U27" i="2" s="1"/>
  <c r="V27" i="2" a="1"/>
  <c r="V27" i="2" s="1"/>
  <c r="W27" i="2" a="1"/>
  <c r="W27" i="2" s="1"/>
  <c r="X27" i="2" a="1"/>
  <c r="X27" i="2" s="1"/>
  <c r="Y27" i="2" a="1"/>
  <c r="Y27" i="2" s="1"/>
  <c r="Z27" i="2" a="1"/>
  <c r="Z27" i="2"/>
  <c r="U28" i="2" a="1"/>
  <c r="U28" i="2" s="1"/>
  <c r="V28" i="2" a="1"/>
  <c r="V28" i="2"/>
  <c r="W28" i="2" a="1"/>
  <c r="W28" i="2" s="1"/>
  <c r="X28" i="2" a="1"/>
  <c r="X28" i="2" s="1"/>
  <c r="Y28" i="2" a="1"/>
  <c r="Y28" i="2" s="1"/>
  <c r="Z28" i="2" a="1"/>
  <c r="Z28" i="2" s="1"/>
  <c r="U29" i="2" a="1"/>
  <c r="U29" i="2" s="1"/>
  <c r="V29" i="2" a="1"/>
  <c r="V29" i="2"/>
  <c r="W29" i="2" a="1"/>
  <c r="W29" i="2" s="1"/>
  <c r="X29" i="2" a="1"/>
  <c r="X29" i="2"/>
  <c r="Y29" i="2" a="1"/>
  <c r="Y29" i="2" s="1"/>
  <c r="Z29" i="2" a="1"/>
  <c r="Z29" i="2"/>
  <c r="U30" i="2" a="1"/>
  <c r="U30" i="2" s="1"/>
  <c r="V30" i="2" a="1"/>
  <c r="V30" i="2" s="1"/>
  <c r="W30" i="2" a="1"/>
  <c r="W30" i="2" s="1"/>
  <c r="X30" i="2" a="1"/>
  <c r="X30" i="2" s="1"/>
  <c r="Y30" i="2" a="1"/>
  <c r="Y30" i="2" s="1"/>
  <c r="Z30" i="2" a="1"/>
  <c r="Z30" i="2"/>
  <c r="U31" i="2" a="1"/>
  <c r="U31" i="2" s="1"/>
  <c r="V31" i="2" a="1"/>
  <c r="V31" i="2"/>
  <c r="W31" i="2" a="1"/>
  <c r="W31" i="2" s="1"/>
  <c r="X31" i="2" a="1"/>
  <c r="X31" i="2" s="1"/>
  <c r="Y31" i="2" a="1"/>
  <c r="Y31" i="2"/>
  <c r="Z31" i="2" a="1"/>
  <c r="Z31" i="2" s="1"/>
  <c r="U32" i="2" a="1"/>
  <c r="U32" i="2" s="1"/>
  <c r="V32" i="2" a="1"/>
  <c r="V32" i="2" s="1"/>
  <c r="W32" i="2" a="1"/>
  <c r="W32" i="2"/>
  <c r="X32" i="2" a="1"/>
  <c r="X32" i="2" s="1"/>
  <c r="Y32" i="2" a="1"/>
  <c r="Y32" i="2" s="1"/>
  <c r="Z32" i="2" a="1"/>
  <c r="Z32" i="2" s="1"/>
  <c r="U33" i="2" a="1"/>
  <c r="U33" i="2"/>
  <c r="V33" i="2" a="1"/>
  <c r="V33" i="2" s="1"/>
  <c r="W33" i="2" a="1"/>
  <c r="W33" i="2" s="1"/>
  <c r="X33" i="2" a="1"/>
  <c r="X33" i="2" s="1"/>
  <c r="Y33" i="2" a="1"/>
  <c r="Y33" i="2"/>
  <c r="Z33" i="2" a="1"/>
  <c r="Z33" i="2" s="1"/>
  <c r="U34" i="2" a="1"/>
  <c r="U34" i="2" s="1"/>
  <c r="V34" i="2" a="1"/>
  <c r="V34" i="2" s="1"/>
  <c r="W34" i="2" a="1"/>
  <c r="W34" i="2"/>
  <c r="X34" i="2" a="1"/>
  <c r="X34" i="2" s="1"/>
  <c r="Y34" i="2" a="1"/>
  <c r="Y34" i="2" s="1"/>
  <c r="Z34" i="2" a="1"/>
  <c r="Z34" i="2" s="1"/>
  <c r="U35" i="2" a="1"/>
  <c r="U35" i="2"/>
  <c r="V35" i="2" a="1"/>
  <c r="V35" i="2" s="1"/>
  <c r="W35" i="2" a="1"/>
  <c r="W35" i="2" s="1"/>
  <c r="X35" i="2" a="1"/>
  <c r="X35" i="2" s="1"/>
  <c r="Y35" i="2" a="1"/>
  <c r="Y35" i="2"/>
  <c r="Z35" i="2" a="1"/>
  <c r="Z35" i="2" s="1"/>
  <c r="U36" i="2" a="1"/>
  <c r="U36" i="2" s="1"/>
  <c r="V36" i="2" a="1"/>
  <c r="V36" i="2" s="1"/>
  <c r="W36" i="2" a="1"/>
  <c r="W36" i="2"/>
  <c r="X36" i="2" a="1"/>
  <c r="X36" i="2" s="1"/>
  <c r="Y36" i="2" a="1"/>
  <c r="Y36" i="2" s="1"/>
  <c r="Z36" i="2" a="1"/>
  <c r="Z36" i="2" s="1"/>
  <c r="U37" i="2" a="1"/>
  <c r="U37" i="2"/>
  <c r="V37" i="2" a="1"/>
  <c r="V37" i="2" s="1"/>
  <c r="W37" i="2" a="1"/>
  <c r="W37" i="2" s="1"/>
  <c r="X37" i="2" a="1"/>
  <c r="X37" i="2" s="1"/>
  <c r="Y37" i="2" a="1"/>
  <c r="Y37" i="2"/>
  <c r="Z37" i="2" a="1"/>
  <c r="Z37" i="2" s="1"/>
  <c r="U38" i="2" a="1"/>
  <c r="U38" i="2" s="1"/>
  <c r="V38" i="2" a="1"/>
  <c r="V38" i="2" s="1"/>
  <c r="W38" i="2" a="1"/>
  <c r="W38" i="2"/>
  <c r="X38" i="2" a="1"/>
  <c r="X38" i="2" s="1"/>
  <c r="Y38" i="2" a="1"/>
  <c r="Y38" i="2" s="1"/>
  <c r="Z38" i="2" a="1"/>
  <c r="Z38" i="2" s="1"/>
  <c r="U39" i="2" a="1"/>
  <c r="U39" i="2"/>
  <c r="V39" i="2" a="1"/>
  <c r="V39" i="2" s="1"/>
  <c r="W39" i="2" a="1"/>
  <c r="W39" i="2" s="1"/>
  <c r="X39" i="2" a="1"/>
  <c r="X39" i="2" s="1"/>
  <c r="Y39" i="2" a="1"/>
  <c r="Y39" i="2"/>
  <c r="Z39" i="2" a="1"/>
  <c r="Z39" i="2" s="1"/>
  <c r="U40" i="2" a="1"/>
  <c r="U40" i="2" s="1"/>
  <c r="V40" i="2" a="1"/>
  <c r="V40" i="2" s="1"/>
  <c r="W40" i="2" a="1"/>
  <c r="W40" i="2"/>
  <c r="X40" i="2" a="1"/>
  <c r="X40" i="2" s="1"/>
  <c r="Y40" i="2" a="1"/>
  <c r="Y40" i="2" s="1"/>
  <c r="Z40" i="2" a="1"/>
  <c r="Z40" i="2" s="1"/>
  <c r="U41" i="2" a="1"/>
  <c r="U41" i="2"/>
  <c r="V41" i="2" a="1"/>
  <c r="V41" i="2" s="1"/>
  <c r="W41" i="2" a="1"/>
  <c r="W41" i="2" s="1"/>
  <c r="X41" i="2" a="1"/>
  <c r="X41" i="2" s="1"/>
  <c r="Y41" i="2" a="1"/>
  <c r="Y41" i="2"/>
  <c r="Z41" i="2" a="1"/>
  <c r="Z41" i="2" s="1"/>
  <c r="U42" i="2" a="1"/>
  <c r="U42" i="2" s="1"/>
  <c r="V42" i="2" a="1"/>
  <c r="V42" i="2" s="1"/>
  <c r="W42" i="2" a="1"/>
  <c r="W42" i="2"/>
  <c r="X42" i="2" a="1"/>
  <c r="X42" i="2" s="1"/>
  <c r="Y42" i="2" a="1"/>
  <c r="Y42" i="2" s="1"/>
  <c r="Z42" i="2" a="1"/>
  <c r="Z42" i="2" s="1"/>
  <c r="U43" i="2" a="1"/>
  <c r="U43" i="2"/>
  <c r="V43" i="2" a="1"/>
  <c r="V43" i="2" s="1"/>
  <c r="W43" i="2" a="1"/>
  <c r="W43" i="2" s="1"/>
  <c r="X43" i="2" a="1"/>
  <c r="X43" i="2" s="1"/>
  <c r="Y43" i="2" a="1"/>
  <c r="Y43" i="2"/>
  <c r="Z43" i="2" a="1"/>
  <c r="Z43" i="2" s="1"/>
  <c r="U44" i="2" a="1"/>
  <c r="U44" i="2" s="1"/>
  <c r="V44" i="2" a="1"/>
  <c r="V44" i="2" s="1"/>
  <c r="W44" i="2" a="1"/>
  <c r="W44" i="2"/>
  <c r="X44" i="2" a="1"/>
  <c r="X44" i="2" s="1"/>
  <c r="Y44" i="2" a="1"/>
  <c r="Y44" i="2" s="1"/>
  <c r="Z44" i="2" a="1"/>
  <c r="Z44" i="2" s="1"/>
  <c r="U45" i="2" a="1"/>
  <c r="U45" i="2"/>
  <c r="V45" i="2" a="1"/>
  <c r="V45" i="2" s="1"/>
  <c r="W45" i="2" a="1"/>
  <c r="W45" i="2" s="1"/>
  <c r="X45" i="2" a="1"/>
  <c r="X45" i="2" s="1"/>
  <c r="Y45" i="2" a="1"/>
  <c r="Y45" i="2"/>
  <c r="Z45" i="2" a="1"/>
  <c r="Z45" i="2" s="1"/>
  <c r="U46" i="2" a="1"/>
  <c r="U46" i="2" s="1"/>
  <c r="V46" i="2" a="1"/>
  <c r="V46" i="2" s="1"/>
  <c r="W46" i="2" a="1"/>
  <c r="W46" i="2"/>
  <c r="X46" i="2" a="1"/>
  <c r="X46" i="2" s="1"/>
  <c r="Y46" i="2" a="1"/>
  <c r="Y46" i="2" s="1"/>
  <c r="Z46" i="2" a="1"/>
  <c r="Z46" i="2" s="1"/>
  <c r="U47" i="2" a="1"/>
  <c r="U47" i="2"/>
  <c r="V47" i="2" a="1"/>
  <c r="V47" i="2" s="1"/>
  <c r="W47" i="2" a="1"/>
  <c r="W47" i="2" s="1"/>
  <c r="X47" i="2" a="1"/>
  <c r="X47" i="2" s="1"/>
  <c r="Y47" i="2" a="1"/>
  <c r="Y47" i="2"/>
  <c r="Z47" i="2" a="1"/>
  <c r="Z47" i="2" s="1"/>
  <c r="U48" i="2" a="1"/>
  <c r="U48" i="2" s="1"/>
  <c r="V48" i="2" a="1"/>
  <c r="V48" i="2" s="1"/>
  <c r="W48" i="2" a="1"/>
  <c r="W48" i="2"/>
  <c r="X48" i="2" a="1"/>
  <c r="X48" i="2" s="1"/>
  <c r="Y48" i="2" a="1"/>
  <c r="Y48" i="2" s="1"/>
  <c r="Z48" i="2" a="1"/>
  <c r="Z48" i="2" s="1"/>
  <c r="U49" i="2" a="1"/>
  <c r="U49" i="2"/>
  <c r="V49" i="2" a="1"/>
  <c r="V49" i="2" s="1"/>
  <c r="W49" i="2" a="1"/>
  <c r="W49" i="2" s="1"/>
  <c r="X49" i="2" a="1"/>
  <c r="X49" i="2" s="1"/>
  <c r="Y49" i="2" a="1"/>
  <c r="Y49" i="2"/>
  <c r="Z49" i="2" a="1"/>
  <c r="Z49" i="2" s="1"/>
  <c r="U50" i="2" a="1"/>
  <c r="U50" i="2" s="1"/>
  <c r="V50" i="2" a="1"/>
  <c r="V50" i="2" s="1"/>
  <c r="W50" i="2" a="1"/>
  <c r="W50" i="2"/>
  <c r="X50" i="2" a="1"/>
  <c r="X50" i="2" s="1"/>
  <c r="Y50" i="2" a="1"/>
  <c r="Y50" i="2" s="1"/>
  <c r="Z50" i="2" a="1"/>
  <c r="Z50" i="2" s="1"/>
  <c r="U51" i="2" a="1"/>
  <c r="U51" i="2"/>
  <c r="V51" i="2" a="1"/>
  <c r="V51" i="2" s="1"/>
  <c r="W51" i="2" a="1"/>
  <c r="W51" i="2" s="1"/>
  <c r="X51" i="2" a="1"/>
  <c r="X51" i="2" s="1"/>
  <c r="Y51" i="2" a="1"/>
  <c r="Y51" i="2"/>
  <c r="Z51" i="2" a="1"/>
  <c r="Z51" i="2" s="1"/>
  <c r="U52" i="2" a="1"/>
  <c r="U52" i="2" s="1"/>
  <c r="V52" i="2" a="1"/>
  <c r="V52" i="2" s="1"/>
  <c r="W52" i="2" a="1"/>
  <c r="W52" i="2"/>
  <c r="X52" i="2" a="1"/>
  <c r="X52" i="2" s="1"/>
  <c r="Y52" i="2" a="1"/>
  <c r="Y52" i="2" s="1"/>
  <c r="Z52" i="2" a="1"/>
  <c r="Z52" i="2" s="1"/>
  <c r="U53" i="2" a="1"/>
  <c r="U53" i="2"/>
  <c r="V53" i="2" a="1"/>
  <c r="V53" i="2" s="1"/>
  <c r="W53" i="2" a="1"/>
  <c r="W53" i="2" s="1"/>
  <c r="X53" i="2" a="1"/>
  <c r="X53" i="2" s="1"/>
  <c r="Y53" i="2" a="1"/>
  <c r="Y53" i="2"/>
  <c r="Z53" i="2" a="1"/>
  <c r="Z53" i="2" s="1"/>
  <c r="U54" i="2" a="1"/>
  <c r="U54" i="2" s="1"/>
  <c r="V54" i="2" a="1"/>
  <c r="V54" i="2" s="1"/>
  <c r="W54" i="2" a="1"/>
  <c r="W54" i="2"/>
  <c r="X54" i="2" a="1"/>
  <c r="X54" i="2" s="1"/>
  <c r="Y54" i="2" a="1"/>
  <c r="Y54" i="2" s="1"/>
  <c r="Z54" i="2" a="1"/>
  <c r="Z54" i="2" s="1"/>
  <c r="U55" i="2" a="1"/>
  <c r="U55" i="2"/>
  <c r="V55" i="2" a="1"/>
  <c r="V55" i="2" s="1"/>
  <c r="W55" i="2" a="1"/>
  <c r="W55" i="2" s="1"/>
  <c r="X55" i="2" a="1"/>
  <c r="X55" i="2" s="1"/>
  <c r="Y55" i="2" a="1"/>
  <c r="Y55" i="2"/>
  <c r="Z55" i="2" a="1"/>
  <c r="Z55" i="2" s="1"/>
  <c r="U56" i="2" a="1"/>
  <c r="U56" i="2" s="1"/>
  <c r="V56" i="2" a="1"/>
  <c r="V56" i="2" s="1"/>
  <c r="W56" i="2" a="1"/>
  <c r="W56" i="2" s="1"/>
  <c r="X56" i="2" a="1"/>
  <c r="X56" i="2" s="1"/>
  <c r="Y56" i="2" a="1"/>
  <c r="Y56" i="2" s="1"/>
  <c r="Z56" i="2" a="1"/>
  <c r="Z56" i="2" s="1"/>
  <c r="U57" i="2" a="1"/>
  <c r="U57" i="2" s="1"/>
  <c r="V57" i="2" a="1"/>
  <c r="V57" i="2" s="1"/>
  <c r="W57" i="2" a="1"/>
  <c r="W57" i="2" s="1"/>
  <c r="X57" i="2" a="1"/>
  <c r="X57" i="2" s="1"/>
  <c r="Y57" i="2" a="1"/>
  <c r="Y57" i="2" s="1"/>
  <c r="Z57" i="2" a="1"/>
  <c r="Z57" i="2" s="1"/>
  <c r="U58" i="2" a="1"/>
  <c r="U58" i="2" s="1"/>
  <c r="V58" i="2" a="1"/>
  <c r="V58" i="2" s="1"/>
  <c r="W58" i="2" a="1"/>
  <c r="W58" i="2" s="1"/>
  <c r="X58" i="2" a="1"/>
  <c r="X58" i="2" s="1"/>
  <c r="Y58" i="2" a="1"/>
  <c r="Y58" i="2" s="1"/>
  <c r="Z58" i="2" a="1"/>
  <c r="Z58" i="2" s="1"/>
  <c r="U59" i="2" a="1"/>
  <c r="U59" i="2" s="1"/>
  <c r="V59" i="2" a="1"/>
  <c r="V59" i="2" s="1"/>
  <c r="W59" i="2" a="1"/>
  <c r="W59" i="2" s="1"/>
  <c r="X59" i="2" a="1"/>
  <c r="X59" i="2" s="1"/>
  <c r="Y59" i="2" a="1"/>
  <c r="Y59" i="2" s="1"/>
  <c r="Z59" i="2" a="1"/>
  <c r="Z59" i="2" s="1"/>
  <c r="U60" i="2" a="1"/>
  <c r="U60" i="2" s="1"/>
  <c r="V60" i="2" a="1"/>
  <c r="V60" i="2" s="1"/>
  <c r="W60" i="2" a="1"/>
  <c r="W60" i="2" s="1"/>
  <c r="X60" i="2" a="1"/>
  <c r="X60" i="2" s="1"/>
  <c r="Y60" i="2" a="1"/>
  <c r="Y60" i="2" s="1"/>
  <c r="Z60" i="2" a="1"/>
  <c r="Z60" i="2" s="1"/>
  <c r="U61" i="2" a="1"/>
  <c r="U61" i="2" s="1"/>
  <c r="V61" i="2" a="1"/>
  <c r="V61" i="2" s="1"/>
  <c r="W61" i="2" a="1"/>
  <c r="W61" i="2" s="1"/>
  <c r="X61" i="2" a="1"/>
  <c r="X61" i="2" s="1"/>
  <c r="Y61" i="2" a="1"/>
  <c r="Y61" i="2" s="1"/>
  <c r="Z61" i="2" a="1"/>
  <c r="Z61" i="2" s="1"/>
  <c r="U62" i="2" a="1"/>
  <c r="U62" i="2" s="1"/>
  <c r="V62" i="2" a="1"/>
  <c r="V62" i="2" s="1"/>
  <c r="W62" i="2" a="1"/>
  <c r="W62" i="2" s="1"/>
  <c r="X62" i="2" a="1"/>
  <c r="X62" i="2" s="1"/>
  <c r="Y62" i="2" a="1"/>
  <c r="Y62" i="2" s="1"/>
  <c r="Z62" i="2" a="1"/>
  <c r="Z62" i="2" s="1"/>
  <c r="U63" i="2" a="1"/>
  <c r="U63" i="2" s="1"/>
  <c r="V63" i="2" a="1"/>
  <c r="V63" i="2" s="1"/>
  <c r="W63" i="2" a="1"/>
  <c r="W63" i="2" s="1"/>
  <c r="X63" i="2" a="1"/>
  <c r="X63" i="2" s="1"/>
  <c r="Y63" i="2" a="1"/>
  <c r="Y63" i="2" s="1"/>
  <c r="Z63" i="2" a="1"/>
  <c r="Z63" i="2" s="1"/>
  <c r="U64" i="2" a="1"/>
  <c r="U64" i="2" s="1"/>
  <c r="V64" i="2" a="1"/>
  <c r="V64" i="2" s="1"/>
  <c r="W64" i="2" a="1"/>
  <c r="W64" i="2" s="1"/>
  <c r="X64" i="2" a="1"/>
  <c r="X64" i="2" s="1"/>
  <c r="Y64" i="2" a="1"/>
  <c r="Y64" i="2" s="1"/>
  <c r="Z64" i="2" a="1"/>
  <c r="Z64" i="2" s="1"/>
  <c r="U65" i="2" a="1"/>
  <c r="U65" i="2" s="1"/>
  <c r="V65" i="2" a="1"/>
  <c r="V65" i="2" s="1"/>
  <c r="W65" i="2" a="1"/>
  <c r="W65" i="2" s="1"/>
  <c r="X65" i="2" a="1"/>
  <c r="X65" i="2" s="1"/>
  <c r="Y65" i="2" a="1"/>
  <c r="Y65" i="2" s="1"/>
  <c r="Z65" i="2" a="1"/>
  <c r="Z65" i="2" s="1"/>
  <c r="U66" i="2" a="1"/>
  <c r="U66" i="2" s="1"/>
  <c r="V66" i="2" a="1"/>
  <c r="V66" i="2" s="1"/>
  <c r="W66" i="2" a="1"/>
  <c r="W66" i="2" s="1"/>
  <c r="X66" i="2" a="1"/>
  <c r="X66" i="2" s="1"/>
  <c r="Y66" i="2" a="1"/>
  <c r="Y66" i="2" s="1"/>
  <c r="Z66" i="2" a="1"/>
  <c r="Z66" i="2" s="1"/>
  <c r="U67" i="2" a="1"/>
  <c r="U67" i="2" s="1"/>
  <c r="V67" i="2" a="1"/>
  <c r="V67" i="2" s="1"/>
  <c r="W67" i="2" a="1"/>
  <c r="W67" i="2" s="1"/>
  <c r="X67" i="2" a="1"/>
  <c r="X67" i="2" s="1"/>
  <c r="Y67" i="2" a="1"/>
  <c r="Y67" i="2" s="1"/>
  <c r="Z67" i="2" a="1"/>
  <c r="Z67" i="2" s="1"/>
  <c r="U68" i="2" a="1"/>
  <c r="U68" i="2" s="1"/>
  <c r="V68" i="2" a="1"/>
  <c r="V68" i="2" s="1"/>
  <c r="W68" i="2" a="1"/>
  <c r="W68" i="2" s="1"/>
  <c r="X68" i="2" a="1"/>
  <c r="X68" i="2" s="1"/>
  <c r="Y68" i="2" a="1"/>
  <c r="Y68" i="2" s="1"/>
  <c r="Z68" i="2" a="1"/>
  <c r="Z68" i="2" s="1"/>
  <c r="U69" i="2" a="1"/>
  <c r="U69" i="2" s="1"/>
  <c r="V69" i="2" a="1"/>
  <c r="V69" i="2" s="1"/>
  <c r="W69" i="2" a="1"/>
  <c r="W69" i="2" s="1"/>
  <c r="X69" i="2" a="1"/>
  <c r="X69" i="2" s="1"/>
  <c r="Y69" i="2" a="1"/>
  <c r="Y69" i="2" s="1"/>
  <c r="Z69" i="2" a="1"/>
  <c r="Z69" i="2" s="1"/>
  <c r="U70" i="2" a="1"/>
  <c r="U70" i="2" s="1"/>
  <c r="V70" i="2" a="1"/>
  <c r="V70" i="2" s="1"/>
  <c r="W70" i="2" a="1"/>
  <c r="W70" i="2" s="1"/>
  <c r="X70" i="2" a="1"/>
  <c r="X70" i="2" s="1"/>
  <c r="Y70" i="2" a="1"/>
  <c r="Y70" i="2" s="1"/>
  <c r="Z70" i="2" a="1"/>
  <c r="Z70" i="2" s="1"/>
  <c r="U71" i="2" a="1"/>
  <c r="U71" i="2" s="1"/>
  <c r="V71" i="2" a="1"/>
  <c r="V71" i="2" s="1"/>
  <c r="W71" i="2" a="1"/>
  <c r="W71" i="2" s="1"/>
  <c r="X71" i="2" a="1"/>
  <c r="X71" i="2" s="1"/>
  <c r="Y71" i="2" a="1"/>
  <c r="Y71" i="2" s="1"/>
  <c r="Z71" i="2" a="1"/>
  <c r="Z71" i="2" s="1"/>
  <c r="U72" i="2" a="1"/>
  <c r="U72" i="2" s="1"/>
  <c r="V72" i="2" a="1"/>
  <c r="V72" i="2" s="1"/>
  <c r="W72" i="2" a="1"/>
  <c r="W72" i="2" s="1"/>
  <c r="X72" i="2" a="1"/>
  <c r="X72" i="2" s="1"/>
  <c r="Y72" i="2" a="1"/>
  <c r="Y72" i="2" s="1"/>
  <c r="Z72" i="2" a="1"/>
  <c r="Z72" i="2" s="1"/>
  <c r="U73" i="2" a="1"/>
  <c r="U73" i="2" s="1"/>
  <c r="V73" i="2" a="1"/>
  <c r="V73" i="2" s="1"/>
  <c r="W73" i="2" a="1"/>
  <c r="W73" i="2" s="1"/>
  <c r="X73" i="2" a="1"/>
  <c r="X73" i="2" s="1"/>
  <c r="Y73" i="2" a="1"/>
  <c r="Y73" i="2" s="1"/>
  <c r="Z73" i="2" a="1"/>
  <c r="Z73" i="2" s="1"/>
  <c r="U74" i="2" a="1"/>
  <c r="U74" i="2" s="1"/>
  <c r="V74" i="2" a="1"/>
  <c r="V74" i="2" s="1"/>
  <c r="W74" i="2" a="1"/>
  <c r="W74" i="2" s="1"/>
  <c r="X74" i="2" a="1"/>
  <c r="X74" i="2" s="1"/>
  <c r="Y74" i="2" a="1"/>
  <c r="Y74" i="2" s="1"/>
  <c r="Z74" i="2" a="1"/>
  <c r="Z74" i="2" s="1"/>
  <c r="U75" i="2" a="1"/>
  <c r="U75" i="2" s="1"/>
  <c r="V75" i="2" a="1"/>
  <c r="V75" i="2" s="1"/>
  <c r="W75" i="2" a="1"/>
  <c r="W75" i="2" s="1"/>
  <c r="X75" i="2" a="1"/>
  <c r="X75" i="2" s="1"/>
  <c r="Y75" i="2" a="1"/>
  <c r="Y75" i="2" s="1"/>
  <c r="Z75" i="2" a="1"/>
  <c r="Z75" i="2" s="1"/>
  <c r="U76" i="2" a="1"/>
  <c r="U76" i="2" s="1"/>
  <c r="V76" i="2" a="1"/>
  <c r="V76" i="2" s="1"/>
  <c r="W76" i="2" a="1"/>
  <c r="W76" i="2" s="1"/>
  <c r="X76" i="2" a="1"/>
  <c r="X76" i="2" s="1"/>
  <c r="Y76" i="2" a="1"/>
  <c r="Y76" i="2" s="1"/>
  <c r="Z76" i="2" a="1"/>
  <c r="Z76" i="2" s="1"/>
  <c r="U77" i="2" a="1"/>
  <c r="U77" i="2" s="1"/>
  <c r="V77" i="2" a="1"/>
  <c r="V77" i="2" s="1"/>
  <c r="W77" i="2" a="1"/>
  <c r="W77" i="2" s="1"/>
  <c r="X77" i="2" a="1"/>
  <c r="X77" i="2" s="1"/>
  <c r="Y77" i="2" a="1"/>
  <c r="Y77" i="2" s="1"/>
  <c r="Z77" i="2" a="1"/>
  <c r="Z77" i="2"/>
  <c r="U78" i="2" a="1"/>
  <c r="U78" i="2"/>
  <c r="V78" i="2" a="1"/>
  <c r="V78" i="2"/>
  <c r="W78" i="2" a="1"/>
  <c r="W78" i="2"/>
  <c r="X78" i="2" a="1"/>
  <c r="X78" i="2"/>
  <c r="Y78" i="2" a="1"/>
  <c r="Y78" i="2"/>
  <c r="Z78" i="2" a="1"/>
  <c r="Z78" i="2"/>
  <c r="U79" i="2" a="1"/>
  <c r="U79" i="2"/>
  <c r="V79" i="2" a="1"/>
  <c r="V79" i="2"/>
  <c r="W79" i="2" a="1"/>
  <c r="W79" i="2"/>
  <c r="X79" i="2" a="1"/>
  <c r="X79" i="2"/>
  <c r="Y79" i="2" a="1"/>
  <c r="Y79" i="2" s="1"/>
  <c r="Z79" i="2" a="1"/>
  <c r="Z79" i="2"/>
  <c r="U80" i="2" a="1"/>
  <c r="U80" i="2" s="1"/>
  <c r="V80" i="2" a="1"/>
  <c r="V80" i="2"/>
  <c r="W80" i="2" a="1"/>
  <c r="W80" i="2" s="1"/>
  <c r="X80" i="2" a="1"/>
  <c r="X80" i="2"/>
  <c r="Y80" i="2" a="1"/>
  <c r="Y80" i="2" s="1"/>
  <c r="Z80" i="2" a="1"/>
  <c r="Z80" i="2"/>
  <c r="U81" i="2" a="1"/>
  <c r="U81" i="2" s="1"/>
  <c r="V81" i="2" a="1"/>
  <c r="V81" i="2"/>
  <c r="W81" i="2" a="1"/>
  <c r="W81" i="2" s="1"/>
  <c r="X81" i="2" a="1"/>
  <c r="X81" i="2"/>
  <c r="Y81" i="2" a="1"/>
  <c r="Y81" i="2" s="1"/>
  <c r="Z81" i="2" a="1"/>
  <c r="Z81" i="2"/>
  <c r="U82" i="2" a="1"/>
  <c r="U82" i="2" s="1"/>
  <c r="V82" i="2" a="1"/>
  <c r="V82" i="2"/>
  <c r="W82" i="2" a="1"/>
  <c r="W82" i="2" s="1"/>
  <c r="X82" i="2" a="1"/>
  <c r="X82" i="2"/>
  <c r="Y82" i="2" a="1"/>
  <c r="Y82" i="2" s="1"/>
  <c r="Z82" i="2" a="1"/>
  <c r="Z82" i="2"/>
  <c r="U83" i="2" a="1"/>
  <c r="U83" i="2" s="1"/>
  <c r="V83" i="2" a="1"/>
  <c r="V83" i="2"/>
  <c r="W83" i="2" a="1"/>
  <c r="W83" i="2" s="1"/>
  <c r="X83" i="2" a="1"/>
  <c r="X83" i="2"/>
  <c r="Y83" i="2" a="1"/>
  <c r="Y83" i="2" s="1"/>
  <c r="Z83" i="2" a="1"/>
  <c r="Z83" i="2"/>
  <c r="W2" i="2" a="1"/>
  <c r="W2" i="2"/>
  <c r="X2" i="2" a="1"/>
  <c r="X2" i="2"/>
  <c r="Y2" i="2" a="1"/>
  <c r="Y2" i="2"/>
  <c r="Z2" i="2" a="1"/>
  <c r="Z2" i="2"/>
  <c r="V2" i="2" a="1"/>
  <c r="V2" i="2" s="1"/>
  <c r="U2" i="2" a="1"/>
  <c r="U2" i="2" s="1"/>
  <c r="T3" i="2" a="1"/>
  <c r="T3" i="2" s="1"/>
  <c r="T4" i="2" a="1"/>
  <c r="T4" i="2"/>
  <c r="T5" i="2" a="1"/>
  <c r="T5" i="2" s="1"/>
  <c r="T6" i="2" a="1"/>
  <c r="T6" i="2"/>
  <c r="T7" i="2" a="1"/>
  <c r="T7" i="2" s="1"/>
  <c r="T8" i="2" a="1"/>
  <c r="T8" i="2"/>
  <c r="T9" i="2" a="1"/>
  <c r="T9" i="2" s="1"/>
  <c r="T10" i="2" a="1"/>
  <c r="T10" i="2"/>
  <c r="T11" i="2" a="1"/>
  <c r="T11" i="2" s="1"/>
  <c r="T12" i="2" a="1"/>
  <c r="T12" i="2"/>
  <c r="T13" i="2" a="1"/>
  <c r="T13" i="2" s="1"/>
  <c r="T14" i="2" a="1"/>
  <c r="T14" i="2"/>
  <c r="T15" i="2" a="1"/>
  <c r="T15" i="2" s="1"/>
  <c r="T16" i="2" a="1"/>
  <c r="T16" i="2"/>
  <c r="T17" i="2" a="1"/>
  <c r="T17" i="2" s="1"/>
  <c r="T18" i="2" a="1"/>
  <c r="T18" i="2"/>
  <c r="T19" i="2" a="1"/>
  <c r="T19" i="2" s="1"/>
  <c r="T20" i="2" a="1"/>
  <c r="T20" i="2"/>
  <c r="T21" i="2" a="1"/>
  <c r="T21" i="2" s="1"/>
  <c r="T22" i="2" a="1"/>
  <c r="T22" i="2"/>
  <c r="T23" i="2" a="1"/>
  <c r="T23" i="2" s="1"/>
  <c r="T24" i="2" a="1"/>
  <c r="T24" i="2"/>
  <c r="T25" i="2" a="1"/>
  <c r="T25" i="2" s="1"/>
  <c r="T26" i="2" a="1"/>
  <c r="T26" i="2"/>
  <c r="T27" i="2" a="1"/>
  <c r="T27" i="2" s="1"/>
  <c r="T28" i="2" a="1"/>
  <c r="T28" i="2"/>
  <c r="T29" i="2" a="1"/>
  <c r="T29" i="2" s="1"/>
  <c r="T30" i="2" a="1"/>
  <c r="T30" i="2"/>
  <c r="T31" i="2" a="1"/>
  <c r="T31" i="2" s="1"/>
  <c r="T32" i="2" a="1"/>
  <c r="T32" i="2"/>
  <c r="T33" i="2" a="1"/>
  <c r="T33" i="2" s="1"/>
  <c r="T34" i="2" a="1"/>
  <c r="T34" i="2"/>
  <c r="T35" i="2" a="1"/>
  <c r="T35" i="2" s="1"/>
  <c r="T36" i="2" a="1"/>
  <c r="T36" i="2"/>
  <c r="T37" i="2" a="1"/>
  <c r="T37" i="2" s="1"/>
  <c r="T38" i="2" a="1"/>
  <c r="T38" i="2"/>
  <c r="T39" i="2" a="1"/>
  <c r="T39" i="2" s="1"/>
  <c r="T40" i="2" a="1"/>
  <c r="T40" i="2"/>
  <c r="T41" i="2" a="1"/>
  <c r="T41" i="2" s="1"/>
  <c r="T42" i="2" a="1"/>
  <c r="T42" i="2"/>
  <c r="T43" i="2" a="1"/>
  <c r="T43" i="2" s="1"/>
  <c r="T44" i="2" a="1"/>
  <c r="T44" i="2"/>
  <c r="T45" i="2" a="1"/>
  <c r="T45" i="2" s="1"/>
  <c r="T46" i="2" a="1"/>
  <c r="T46" i="2"/>
  <c r="T47" i="2" a="1"/>
  <c r="T47" i="2" s="1"/>
  <c r="T48" i="2" a="1"/>
  <c r="T48" i="2"/>
  <c r="T49" i="2" a="1"/>
  <c r="T49" i="2" s="1"/>
  <c r="T50" i="2" a="1"/>
  <c r="T50" i="2"/>
  <c r="T51" i="2" a="1"/>
  <c r="T51" i="2" s="1"/>
  <c r="T52" i="2" a="1"/>
  <c r="T52" i="2"/>
  <c r="T53" i="2" a="1"/>
  <c r="T53" i="2" s="1"/>
  <c r="T54" i="2" a="1"/>
  <c r="T54" i="2"/>
  <c r="T55" i="2" a="1"/>
  <c r="T55" i="2" s="1"/>
  <c r="T56" i="2" a="1"/>
  <c r="T56" i="2"/>
  <c r="T57" i="2" a="1"/>
  <c r="T57" i="2" s="1"/>
  <c r="T58" i="2" a="1"/>
  <c r="T58" i="2"/>
  <c r="T59" i="2" a="1"/>
  <c r="T59" i="2" s="1"/>
  <c r="T60" i="2" a="1"/>
  <c r="T60" i="2"/>
  <c r="T61" i="2" a="1"/>
  <c r="T61" i="2" s="1"/>
  <c r="T62" i="2" a="1"/>
  <c r="T62" i="2"/>
  <c r="T63" i="2" a="1"/>
  <c r="T63" i="2" s="1"/>
  <c r="T64" i="2" a="1"/>
  <c r="T64" i="2"/>
  <c r="T65" i="2" a="1"/>
  <c r="T65" i="2" s="1"/>
  <c r="T66" i="2" a="1"/>
  <c r="T66" i="2"/>
  <c r="T67" i="2" a="1"/>
  <c r="T67" i="2" s="1"/>
  <c r="T68" i="2" a="1"/>
  <c r="T68" i="2"/>
  <c r="T69" i="2" a="1"/>
  <c r="T69" i="2" s="1"/>
  <c r="T70" i="2" a="1"/>
  <c r="T70" i="2"/>
  <c r="T71" i="2" a="1"/>
  <c r="T71" i="2" s="1"/>
  <c r="T72" i="2" a="1"/>
  <c r="T72" i="2"/>
  <c r="T73" i="2" a="1"/>
  <c r="T73" i="2" s="1"/>
  <c r="T74" i="2" a="1"/>
  <c r="T74" i="2"/>
  <c r="T75" i="2" a="1"/>
  <c r="T75" i="2" s="1"/>
  <c r="T76" i="2" a="1"/>
  <c r="T76" i="2"/>
  <c r="T77" i="2" a="1"/>
  <c r="T77" i="2" s="1"/>
  <c r="T78" i="2" a="1"/>
  <c r="T78" i="2"/>
  <c r="T79" i="2" a="1"/>
  <c r="T79" i="2" s="1"/>
  <c r="T80" i="2" a="1"/>
  <c r="T80" i="2"/>
  <c r="T81" i="2" a="1"/>
  <c r="T81" i="2" s="1"/>
  <c r="T82" i="2" a="1"/>
  <c r="T82" i="2"/>
  <c r="T83" i="2" a="1"/>
  <c r="T83" i="2" s="1"/>
  <c r="T2" i="2" a="1"/>
  <c r="T2" i="2" s="1"/>
  <c r="S3" i="2" a="1"/>
  <c r="S3" i="2" s="1"/>
  <c r="S4" i="2" a="1"/>
  <c r="S4" i="2"/>
  <c r="S5" i="2" a="1"/>
  <c r="S5" i="2" s="1"/>
  <c r="S6" i="2" a="1"/>
  <c r="S6" i="2"/>
  <c r="S7" i="2" a="1"/>
  <c r="S7" i="2" s="1"/>
  <c r="S8" i="2" a="1"/>
  <c r="S8" i="2"/>
  <c r="S9" i="2" a="1"/>
  <c r="S9" i="2" s="1"/>
  <c r="S10" i="2" a="1"/>
  <c r="S10" i="2"/>
  <c r="S11" i="2" a="1"/>
  <c r="S11" i="2" s="1"/>
  <c r="S12" i="2" a="1"/>
  <c r="S12" i="2"/>
  <c r="S13" i="2" a="1"/>
  <c r="S13" i="2" s="1"/>
  <c r="S14" i="2" a="1"/>
  <c r="S14" i="2"/>
  <c r="S15" i="2" a="1"/>
  <c r="S15" i="2" s="1"/>
  <c r="S16" i="2" a="1"/>
  <c r="S16" i="2"/>
  <c r="S17" i="2" a="1"/>
  <c r="S17" i="2" s="1"/>
  <c r="S18" i="2" a="1"/>
  <c r="S18" i="2"/>
  <c r="S19" i="2" a="1"/>
  <c r="S19" i="2" s="1"/>
  <c r="S20" i="2" a="1"/>
  <c r="S20" i="2"/>
  <c r="S21" i="2" a="1"/>
  <c r="S21" i="2" s="1"/>
  <c r="S22" i="2" a="1"/>
  <c r="S22" i="2"/>
  <c r="S23" i="2" a="1"/>
  <c r="S23" i="2" s="1"/>
  <c r="S24" i="2" a="1"/>
  <c r="S24" i="2"/>
  <c r="S25" i="2" a="1"/>
  <c r="S25" i="2" s="1"/>
  <c r="S26" i="2" a="1"/>
  <c r="S26" i="2"/>
  <c r="S27" i="2" a="1"/>
  <c r="S27" i="2" s="1"/>
  <c r="S28" i="2" a="1"/>
  <c r="S28" i="2"/>
  <c r="S29" i="2" a="1"/>
  <c r="S29" i="2" s="1"/>
  <c r="S30" i="2" a="1"/>
  <c r="S30" i="2"/>
  <c r="S31" i="2" a="1"/>
  <c r="S31" i="2" s="1"/>
  <c r="S32" i="2" a="1"/>
  <c r="S32" i="2"/>
  <c r="S33" i="2" a="1"/>
  <c r="S33" i="2" s="1"/>
  <c r="S34" i="2" a="1"/>
  <c r="S34" i="2"/>
  <c r="S35" i="2" a="1"/>
  <c r="S35" i="2" s="1"/>
  <c r="S36" i="2" a="1"/>
  <c r="S36" i="2"/>
  <c r="S37" i="2" a="1"/>
  <c r="S37" i="2" s="1"/>
  <c r="S38" i="2" a="1"/>
  <c r="S38" i="2"/>
  <c r="S39" i="2" a="1"/>
  <c r="S39" i="2" s="1"/>
  <c r="S40" i="2" a="1"/>
  <c r="S40" i="2"/>
  <c r="S41" i="2" a="1"/>
  <c r="S41" i="2" s="1"/>
  <c r="S42" i="2" a="1"/>
  <c r="S42" i="2"/>
  <c r="S43" i="2" a="1"/>
  <c r="S43" i="2" s="1"/>
  <c r="S44" i="2" a="1"/>
  <c r="S44" i="2"/>
  <c r="S45" i="2" a="1"/>
  <c r="S45" i="2" s="1"/>
  <c r="S46" i="2" a="1"/>
  <c r="S46" i="2"/>
  <c r="S47" i="2" a="1"/>
  <c r="S47" i="2" s="1"/>
  <c r="S48" i="2" a="1"/>
  <c r="S48" i="2"/>
  <c r="S49" i="2" a="1"/>
  <c r="S49" i="2" s="1"/>
  <c r="S50" i="2" a="1"/>
  <c r="S50" i="2"/>
  <c r="S51" i="2" a="1"/>
  <c r="S51" i="2" s="1"/>
  <c r="S52" i="2" a="1"/>
  <c r="S52" i="2"/>
  <c r="S53" i="2" a="1"/>
  <c r="S53" i="2" s="1"/>
  <c r="S54" i="2" a="1"/>
  <c r="S54" i="2"/>
  <c r="S55" i="2" a="1"/>
  <c r="S55" i="2" s="1"/>
  <c r="S56" i="2" a="1"/>
  <c r="S56" i="2"/>
  <c r="S57" i="2" a="1"/>
  <c r="S57" i="2" s="1"/>
  <c r="S58" i="2" a="1"/>
  <c r="S58" i="2"/>
  <c r="S59" i="2" a="1"/>
  <c r="S59" i="2" s="1"/>
  <c r="S60" i="2" a="1"/>
  <c r="S60" i="2"/>
  <c r="S61" i="2" a="1"/>
  <c r="S61" i="2" s="1"/>
  <c r="S62" i="2" a="1"/>
  <c r="S62" i="2"/>
  <c r="S63" i="2" a="1"/>
  <c r="S63" i="2" s="1"/>
  <c r="S64" i="2" a="1"/>
  <c r="S64" i="2"/>
  <c r="S65" i="2" a="1"/>
  <c r="S65" i="2" s="1"/>
  <c r="S66" i="2" a="1"/>
  <c r="S66" i="2"/>
  <c r="S67" i="2" a="1"/>
  <c r="S67" i="2" s="1"/>
  <c r="S68" i="2" a="1"/>
  <c r="S68" i="2"/>
  <c r="S69" i="2" a="1"/>
  <c r="S69" i="2" s="1"/>
  <c r="S70" i="2" a="1"/>
  <c r="S70" i="2"/>
  <c r="S71" i="2" a="1"/>
  <c r="S71" i="2" s="1"/>
  <c r="S72" i="2" a="1"/>
  <c r="S72" i="2"/>
  <c r="S73" i="2" a="1"/>
  <c r="S73" i="2" s="1"/>
  <c r="S74" i="2" a="1"/>
  <c r="S74" i="2"/>
  <c r="S75" i="2" a="1"/>
  <c r="S75" i="2" s="1"/>
  <c r="S76" i="2" a="1"/>
  <c r="S76" i="2"/>
  <c r="S77" i="2" a="1"/>
  <c r="S77" i="2" s="1"/>
  <c r="S78" i="2" a="1"/>
  <c r="S78" i="2"/>
  <c r="S79" i="2" a="1"/>
  <c r="S79" i="2" s="1"/>
  <c r="S80" i="2" a="1"/>
  <c r="S80" i="2"/>
  <c r="S81" i="2" a="1"/>
  <c r="S81" i="2" s="1"/>
  <c r="S82" i="2" a="1"/>
  <c r="S82" i="2"/>
  <c r="S83" i="2" a="1"/>
  <c r="S83" i="2" s="1"/>
  <c r="S2" i="2" a="1"/>
  <c r="S2" i="2" s="1"/>
  <c r="A2" i="2" a="1"/>
  <c r="A2" i="2"/>
  <c r="Q3" i="2" a="1"/>
  <c r="Q3" i="2" s="1"/>
  <c r="R3" i="2" a="1"/>
  <c r="R3" i="2"/>
  <c r="Q4" i="2" a="1"/>
  <c r="Q4" i="2" s="1"/>
  <c r="R4" i="2" a="1"/>
  <c r="R4" i="2"/>
  <c r="Q5" i="2" a="1"/>
  <c r="Q5" i="2" s="1"/>
  <c r="R5" i="2" a="1"/>
  <c r="R5" i="2"/>
  <c r="Q6" i="2" a="1"/>
  <c r="Q6" i="2" s="1"/>
  <c r="R6" i="2" a="1"/>
  <c r="R6" i="2"/>
  <c r="Q7" i="2" a="1"/>
  <c r="Q7" i="2" s="1"/>
  <c r="R7" i="2" a="1"/>
  <c r="R7" i="2"/>
  <c r="Q8" i="2" a="1"/>
  <c r="Q8" i="2" s="1"/>
  <c r="R8" i="2" a="1"/>
  <c r="R8" i="2"/>
  <c r="Q9" i="2" a="1"/>
  <c r="Q9" i="2" s="1"/>
  <c r="R9" i="2" a="1"/>
  <c r="R9" i="2"/>
  <c r="Q10" i="2" a="1"/>
  <c r="Q10" i="2" s="1"/>
  <c r="R10" i="2" a="1"/>
  <c r="R10" i="2"/>
  <c r="Q11" i="2" a="1"/>
  <c r="Q11" i="2" s="1"/>
  <c r="R11" i="2" a="1"/>
  <c r="R11" i="2"/>
  <c r="Q12" i="2" a="1"/>
  <c r="Q12" i="2" s="1"/>
  <c r="R12" i="2" a="1"/>
  <c r="R12" i="2"/>
  <c r="Q13" i="2" a="1"/>
  <c r="Q13" i="2" s="1"/>
  <c r="R13" i="2" a="1"/>
  <c r="R13" i="2"/>
  <c r="Q14" i="2" a="1"/>
  <c r="Q14" i="2" s="1"/>
  <c r="R14" i="2" a="1"/>
  <c r="R14" i="2"/>
  <c r="Q15" i="2" a="1"/>
  <c r="Q15" i="2" s="1"/>
  <c r="R15" i="2" a="1"/>
  <c r="R15" i="2"/>
  <c r="Q16" i="2" a="1"/>
  <c r="Q16" i="2" s="1"/>
  <c r="R16" i="2" a="1"/>
  <c r="R16" i="2"/>
  <c r="Q17" i="2" a="1"/>
  <c r="Q17" i="2" s="1"/>
  <c r="R17" i="2" a="1"/>
  <c r="R17" i="2"/>
  <c r="Q18" i="2" a="1"/>
  <c r="Q18" i="2" s="1"/>
  <c r="R18" i="2" a="1"/>
  <c r="R18" i="2"/>
  <c r="Q19" i="2" a="1"/>
  <c r="Q19" i="2" s="1"/>
  <c r="R19" i="2" a="1"/>
  <c r="R19" i="2"/>
  <c r="Q20" i="2" a="1"/>
  <c r="Q20" i="2" s="1"/>
  <c r="R20" i="2" a="1"/>
  <c r="R20" i="2"/>
  <c r="Q21" i="2" a="1"/>
  <c r="Q21" i="2" s="1"/>
  <c r="R21" i="2" a="1"/>
  <c r="R21" i="2"/>
  <c r="Q22" i="2" a="1"/>
  <c r="Q22" i="2" s="1"/>
  <c r="R22" i="2" a="1"/>
  <c r="R22" i="2"/>
  <c r="Q23" i="2" a="1"/>
  <c r="Q23" i="2" s="1"/>
  <c r="R23" i="2" a="1"/>
  <c r="R23" i="2"/>
  <c r="Q24" i="2" a="1"/>
  <c r="Q24" i="2" s="1"/>
  <c r="R24" i="2" a="1"/>
  <c r="R24" i="2"/>
  <c r="Q25" i="2" a="1"/>
  <c r="Q25" i="2" s="1"/>
  <c r="R25" i="2" a="1"/>
  <c r="R25" i="2"/>
  <c r="Q26" i="2" a="1"/>
  <c r="Q26" i="2" s="1"/>
  <c r="R26" i="2" a="1"/>
  <c r="R26" i="2"/>
  <c r="Q27" i="2" a="1"/>
  <c r="Q27" i="2" s="1"/>
  <c r="R27" i="2" a="1"/>
  <c r="R27" i="2"/>
  <c r="Q28" i="2" a="1"/>
  <c r="Q28" i="2" s="1"/>
  <c r="R28" i="2" a="1"/>
  <c r="R28" i="2"/>
  <c r="Q29" i="2" a="1"/>
  <c r="Q29" i="2" s="1"/>
  <c r="R29" i="2" a="1"/>
  <c r="R29" i="2"/>
  <c r="Q30" i="2" a="1"/>
  <c r="Q30" i="2" s="1"/>
  <c r="R30" i="2" a="1"/>
  <c r="R30" i="2"/>
  <c r="Q31" i="2" a="1"/>
  <c r="Q31" i="2" s="1"/>
  <c r="R31" i="2" a="1"/>
  <c r="R31" i="2"/>
  <c r="Q32" i="2" a="1"/>
  <c r="Q32" i="2" s="1"/>
  <c r="R32" i="2" a="1"/>
  <c r="R32" i="2"/>
  <c r="Q33" i="2" a="1"/>
  <c r="Q33" i="2" s="1"/>
  <c r="R33" i="2" a="1"/>
  <c r="R33" i="2"/>
  <c r="Q34" i="2" a="1"/>
  <c r="Q34" i="2" s="1"/>
  <c r="R34" i="2" a="1"/>
  <c r="R34" i="2"/>
  <c r="Q35" i="2" a="1"/>
  <c r="Q35" i="2" s="1"/>
  <c r="R35" i="2" a="1"/>
  <c r="R35" i="2"/>
  <c r="Q36" i="2" a="1"/>
  <c r="Q36" i="2" s="1"/>
  <c r="R36" i="2" a="1"/>
  <c r="R36" i="2"/>
  <c r="Q37" i="2" a="1"/>
  <c r="Q37" i="2" s="1"/>
  <c r="R37" i="2" a="1"/>
  <c r="R37" i="2"/>
  <c r="Q38" i="2" a="1"/>
  <c r="Q38" i="2" s="1"/>
  <c r="R38" i="2" a="1"/>
  <c r="R38" i="2"/>
  <c r="Q39" i="2" a="1"/>
  <c r="Q39" i="2" s="1"/>
  <c r="R39" i="2" a="1"/>
  <c r="R39" i="2"/>
  <c r="Q40" i="2" a="1"/>
  <c r="Q40" i="2" s="1"/>
  <c r="R40" i="2" a="1"/>
  <c r="R40" i="2"/>
  <c r="Q41" i="2" a="1"/>
  <c r="Q41" i="2" s="1"/>
  <c r="R41" i="2" a="1"/>
  <c r="R41" i="2"/>
  <c r="Q42" i="2" a="1"/>
  <c r="Q42" i="2" s="1"/>
  <c r="R42" i="2" a="1"/>
  <c r="R42" i="2"/>
  <c r="Q43" i="2" a="1"/>
  <c r="Q43" i="2" s="1"/>
  <c r="R43" i="2" a="1"/>
  <c r="R43" i="2"/>
  <c r="Q44" i="2" a="1"/>
  <c r="Q44" i="2" s="1"/>
  <c r="R44" i="2" a="1"/>
  <c r="R44" i="2"/>
  <c r="Q45" i="2" a="1"/>
  <c r="Q45" i="2" s="1"/>
  <c r="R45" i="2" a="1"/>
  <c r="R45" i="2"/>
  <c r="Q46" i="2" a="1"/>
  <c r="Q46" i="2" s="1"/>
  <c r="R46" i="2" a="1"/>
  <c r="R46" i="2"/>
  <c r="Q47" i="2" a="1"/>
  <c r="Q47" i="2" s="1"/>
  <c r="R47" i="2" a="1"/>
  <c r="R47" i="2"/>
  <c r="Q48" i="2" a="1"/>
  <c r="Q48" i="2" s="1"/>
  <c r="R48" i="2" a="1"/>
  <c r="R48" i="2"/>
  <c r="Q49" i="2" a="1"/>
  <c r="Q49" i="2" s="1"/>
  <c r="R49" i="2" a="1"/>
  <c r="R49" i="2"/>
  <c r="Q50" i="2" a="1"/>
  <c r="Q50" i="2" s="1"/>
  <c r="R50" i="2" a="1"/>
  <c r="R50" i="2"/>
  <c r="Q51" i="2" a="1"/>
  <c r="Q51" i="2" s="1"/>
  <c r="R51" i="2" a="1"/>
  <c r="R51" i="2"/>
  <c r="Q52" i="2" a="1"/>
  <c r="Q52" i="2" s="1"/>
  <c r="R52" i="2" a="1"/>
  <c r="R52" i="2"/>
  <c r="Q53" i="2" a="1"/>
  <c r="Q53" i="2" s="1"/>
  <c r="R53" i="2" a="1"/>
  <c r="R53" i="2"/>
  <c r="Q54" i="2" a="1"/>
  <c r="Q54" i="2" s="1"/>
  <c r="R54" i="2" a="1"/>
  <c r="R54" i="2"/>
  <c r="Q55" i="2" a="1"/>
  <c r="Q55" i="2" s="1"/>
  <c r="R55" i="2" a="1"/>
  <c r="R55" i="2"/>
  <c r="Q56" i="2" a="1"/>
  <c r="Q56" i="2" s="1"/>
  <c r="R56" i="2" a="1"/>
  <c r="R56" i="2"/>
  <c r="Q57" i="2" a="1"/>
  <c r="Q57" i="2" s="1"/>
  <c r="R57" i="2" a="1"/>
  <c r="R57" i="2"/>
  <c r="Q58" i="2" a="1"/>
  <c r="Q58" i="2" s="1"/>
  <c r="R58" i="2" a="1"/>
  <c r="R58" i="2"/>
  <c r="Q59" i="2" a="1"/>
  <c r="Q59" i="2" s="1"/>
  <c r="R59" i="2" a="1"/>
  <c r="R59" i="2"/>
  <c r="Q60" i="2" a="1"/>
  <c r="Q60" i="2" s="1"/>
  <c r="R60" i="2" a="1"/>
  <c r="R60" i="2"/>
  <c r="Q61" i="2" a="1"/>
  <c r="Q61" i="2" s="1"/>
  <c r="R61" i="2" a="1"/>
  <c r="R61" i="2"/>
  <c r="Q62" i="2" a="1"/>
  <c r="Q62" i="2" s="1"/>
  <c r="R62" i="2" a="1"/>
  <c r="R62" i="2"/>
  <c r="Q63" i="2" a="1"/>
  <c r="Q63" i="2" s="1"/>
  <c r="R63" i="2" a="1"/>
  <c r="R63" i="2"/>
  <c r="Q64" i="2" a="1"/>
  <c r="Q64" i="2" s="1"/>
  <c r="R64" i="2" a="1"/>
  <c r="R64" i="2"/>
  <c r="Q65" i="2" a="1"/>
  <c r="Q65" i="2" s="1"/>
  <c r="R65" i="2" a="1"/>
  <c r="R65" i="2"/>
  <c r="Q66" i="2" a="1"/>
  <c r="Q66" i="2" s="1"/>
  <c r="R66" i="2" a="1"/>
  <c r="R66" i="2"/>
  <c r="Q67" i="2" a="1"/>
  <c r="Q67" i="2" s="1"/>
  <c r="R67" i="2" a="1"/>
  <c r="R67" i="2"/>
  <c r="Q68" i="2" a="1"/>
  <c r="Q68" i="2" s="1"/>
  <c r="R68" i="2" a="1"/>
  <c r="R68" i="2"/>
  <c r="Q69" i="2" a="1"/>
  <c r="Q69" i="2" s="1"/>
  <c r="R69" i="2" a="1"/>
  <c r="R69" i="2"/>
  <c r="Q70" i="2" a="1"/>
  <c r="Q70" i="2" s="1"/>
  <c r="R70" i="2" a="1"/>
  <c r="R70" i="2"/>
  <c r="Q71" i="2" a="1"/>
  <c r="Q71" i="2" s="1"/>
  <c r="R71" i="2" a="1"/>
  <c r="R71" i="2"/>
  <c r="Q72" i="2" a="1"/>
  <c r="Q72" i="2" s="1"/>
  <c r="R72" i="2" a="1"/>
  <c r="R72" i="2"/>
  <c r="Q73" i="2" a="1"/>
  <c r="Q73" i="2" s="1"/>
  <c r="R73" i="2" a="1"/>
  <c r="R73" i="2"/>
  <c r="Q74" i="2" a="1"/>
  <c r="Q74" i="2" s="1"/>
  <c r="R74" i="2" a="1"/>
  <c r="R74" i="2"/>
  <c r="Q75" i="2" a="1"/>
  <c r="Q75" i="2" s="1"/>
  <c r="R75" i="2" a="1"/>
  <c r="R75" i="2"/>
  <c r="Q76" i="2" a="1"/>
  <c r="Q76" i="2" s="1"/>
  <c r="R76" i="2" a="1"/>
  <c r="R76" i="2"/>
  <c r="Q77" i="2" a="1"/>
  <c r="Q77" i="2" s="1"/>
  <c r="R77" i="2" a="1"/>
  <c r="R77" i="2"/>
  <c r="Q78" i="2" a="1"/>
  <c r="Q78" i="2" s="1"/>
  <c r="R78" i="2" a="1"/>
  <c r="R78" i="2"/>
  <c r="Q79" i="2" a="1"/>
  <c r="Q79" i="2" s="1"/>
  <c r="R79" i="2" a="1"/>
  <c r="R79" i="2"/>
  <c r="Q80" i="2" a="1"/>
  <c r="Q80" i="2" s="1"/>
  <c r="R80" i="2" a="1"/>
  <c r="R80" i="2"/>
  <c r="Q81" i="2" a="1"/>
  <c r="Q81" i="2" s="1"/>
  <c r="R81" i="2" a="1"/>
  <c r="R81" i="2"/>
  <c r="Q82" i="2" a="1"/>
  <c r="Q82" i="2" s="1"/>
  <c r="R82" i="2" a="1"/>
  <c r="R82" i="2"/>
  <c r="Q83" i="2" a="1"/>
  <c r="Q83" i="2" s="1"/>
  <c r="R83" i="2" a="1"/>
  <c r="R83" i="2"/>
  <c r="R2" i="2" a="1"/>
  <c r="R2" i="2" s="1"/>
  <c r="Q2" i="2" a="1"/>
  <c r="Q2" i="2" s="1"/>
  <c r="P3" i="2" a="1"/>
  <c r="P3" i="2" s="1"/>
  <c r="P4" i="2" a="1"/>
  <c r="P4" i="2"/>
  <c r="P5" i="2" a="1"/>
  <c r="P5" i="2" s="1"/>
  <c r="P6" i="2" a="1"/>
  <c r="P6" i="2"/>
  <c r="P7" i="2" a="1"/>
  <c r="P7" i="2" s="1"/>
  <c r="P8" i="2" a="1"/>
  <c r="P8" i="2"/>
  <c r="P9" i="2" a="1"/>
  <c r="P9" i="2" s="1"/>
  <c r="P10" i="2" a="1"/>
  <c r="P10" i="2"/>
  <c r="P11" i="2" a="1"/>
  <c r="P11" i="2" s="1"/>
  <c r="P12" i="2" a="1"/>
  <c r="P12" i="2"/>
  <c r="P13" i="2" a="1"/>
  <c r="P13" i="2" s="1"/>
  <c r="P14" i="2" a="1"/>
  <c r="P14" i="2"/>
  <c r="P15" i="2" a="1"/>
  <c r="P15" i="2" s="1"/>
  <c r="P16" i="2" a="1"/>
  <c r="P16" i="2"/>
  <c r="P17" i="2" a="1"/>
  <c r="P17" i="2" s="1"/>
  <c r="P18" i="2" a="1"/>
  <c r="P18" i="2"/>
  <c r="P19" i="2" a="1"/>
  <c r="P19" i="2" s="1"/>
  <c r="P20" i="2" a="1"/>
  <c r="P20" i="2"/>
  <c r="P21" i="2" a="1"/>
  <c r="P21" i="2" s="1"/>
  <c r="P22" i="2" a="1"/>
  <c r="P22" i="2"/>
  <c r="P23" i="2" a="1"/>
  <c r="P23" i="2" s="1"/>
  <c r="P24" i="2" a="1"/>
  <c r="P24" i="2"/>
  <c r="P25" i="2" a="1"/>
  <c r="P25" i="2" s="1"/>
  <c r="P26" i="2" a="1"/>
  <c r="P26" i="2"/>
  <c r="P27" i="2" a="1"/>
  <c r="P27" i="2" s="1"/>
  <c r="P28" i="2" a="1"/>
  <c r="P28" i="2"/>
  <c r="P29" i="2" a="1"/>
  <c r="P29" i="2" s="1"/>
  <c r="P30" i="2" a="1"/>
  <c r="P30" i="2"/>
  <c r="P31" i="2" a="1"/>
  <c r="P31" i="2" s="1"/>
  <c r="P32" i="2" a="1"/>
  <c r="P32" i="2"/>
  <c r="P33" i="2" a="1"/>
  <c r="P33" i="2" s="1"/>
  <c r="P34" i="2" a="1"/>
  <c r="P34" i="2"/>
  <c r="P35" i="2" a="1"/>
  <c r="P35" i="2" s="1"/>
  <c r="P36" i="2" a="1"/>
  <c r="P36" i="2"/>
  <c r="P37" i="2" a="1"/>
  <c r="P37" i="2" s="1"/>
  <c r="P38" i="2" a="1"/>
  <c r="P38" i="2"/>
  <c r="P39" i="2" a="1"/>
  <c r="P39" i="2" s="1"/>
  <c r="P40" i="2" a="1"/>
  <c r="P40" i="2"/>
  <c r="P41" i="2" a="1"/>
  <c r="P41" i="2" s="1"/>
  <c r="P42" i="2" a="1"/>
  <c r="P42" i="2"/>
  <c r="P43" i="2" a="1"/>
  <c r="P43" i="2" s="1"/>
  <c r="P44" i="2" a="1"/>
  <c r="P44" i="2"/>
  <c r="P45" i="2" a="1"/>
  <c r="P45" i="2" s="1"/>
  <c r="P46" i="2" a="1"/>
  <c r="P46" i="2"/>
  <c r="P47" i="2" a="1"/>
  <c r="P47" i="2" s="1"/>
  <c r="P48" i="2" a="1"/>
  <c r="P48" i="2"/>
  <c r="P49" i="2" a="1"/>
  <c r="P49" i="2" s="1"/>
  <c r="P50" i="2" a="1"/>
  <c r="P50" i="2"/>
  <c r="P51" i="2" a="1"/>
  <c r="P51" i="2" s="1"/>
  <c r="P52" i="2" a="1"/>
  <c r="P52" i="2"/>
  <c r="P53" i="2" a="1"/>
  <c r="P53" i="2" s="1"/>
  <c r="P54" i="2" a="1"/>
  <c r="P54" i="2"/>
  <c r="P55" i="2" a="1"/>
  <c r="P55" i="2" s="1"/>
  <c r="P56" i="2" a="1"/>
  <c r="P56" i="2"/>
  <c r="P57" i="2" a="1"/>
  <c r="P57" i="2" s="1"/>
  <c r="P58" i="2" a="1"/>
  <c r="P58" i="2"/>
  <c r="P59" i="2" a="1"/>
  <c r="P59" i="2" s="1"/>
  <c r="P60" i="2" a="1"/>
  <c r="P60" i="2"/>
  <c r="P61" i="2" a="1"/>
  <c r="P61" i="2" s="1"/>
  <c r="P62" i="2" a="1"/>
  <c r="P62" i="2"/>
  <c r="P63" i="2" a="1"/>
  <c r="P63" i="2" s="1"/>
  <c r="P64" i="2" a="1"/>
  <c r="P64" i="2"/>
  <c r="P65" i="2" a="1"/>
  <c r="P65" i="2" s="1"/>
  <c r="P66" i="2" a="1"/>
  <c r="P66" i="2"/>
  <c r="P67" i="2" a="1"/>
  <c r="P67" i="2" s="1"/>
  <c r="P68" i="2" a="1"/>
  <c r="P68" i="2"/>
  <c r="P69" i="2" a="1"/>
  <c r="P69" i="2" s="1"/>
  <c r="P70" i="2" a="1"/>
  <c r="P70" i="2"/>
  <c r="P71" i="2" a="1"/>
  <c r="P71" i="2" s="1"/>
  <c r="P72" i="2" a="1"/>
  <c r="P72" i="2"/>
  <c r="P73" i="2" a="1"/>
  <c r="P73" i="2" s="1"/>
  <c r="P74" i="2" a="1"/>
  <c r="P74" i="2"/>
  <c r="P75" i="2" a="1"/>
  <c r="P75" i="2" s="1"/>
  <c r="P76" i="2" a="1"/>
  <c r="P76" i="2"/>
  <c r="P77" i="2" a="1"/>
  <c r="P77" i="2" s="1"/>
  <c r="P78" i="2" a="1"/>
  <c r="P78" i="2"/>
  <c r="P79" i="2" a="1"/>
  <c r="P79" i="2" s="1"/>
  <c r="P80" i="2" a="1"/>
  <c r="P80" i="2"/>
  <c r="P81" i="2" a="1"/>
  <c r="P81" i="2" s="1"/>
  <c r="P82" i="2" a="1"/>
  <c r="P82" i="2"/>
  <c r="P83" i="2" a="1"/>
  <c r="P83" i="2" s="1"/>
  <c r="P2" i="2" a="1"/>
  <c r="P2" i="2" s="1"/>
  <c r="O3" i="2" a="1"/>
  <c r="O3" i="2" s="1"/>
  <c r="O4" i="2" a="1"/>
  <c r="O4" i="2"/>
  <c r="O5" i="2" a="1"/>
  <c r="O5" i="2" s="1"/>
  <c r="O6" i="2" a="1"/>
  <c r="O6" i="2"/>
  <c r="O7" i="2" a="1"/>
  <c r="O7" i="2" s="1"/>
  <c r="O8" i="2" a="1"/>
  <c r="O8" i="2"/>
  <c r="O9" i="2" a="1"/>
  <c r="O9" i="2" s="1"/>
  <c r="O10" i="2" a="1"/>
  <c r="O10" i="2"/>
  <c r="O11" i="2" a="1"/>
  <c r="O11" i="2" s="1"/>
  <c r="O12" i="2" a="1"/>
  <c r="O12" i="2"/>
  <c r="O13" i="2" a="1"/>
  <c r="O13" i="2" s="1"/>
  <c r="O14" i="2" a="1"/>
  <c r="O14" i="2"/>
  <c r="O15" i="2" a="1"/>
  <c r="O15" i="2" s="1"/>
  <c r="O16" i="2" a="1"/>
  <c r="O16" i="2"/>
  <c r="O17" i="2" a="1"/>
  <c r="O17" i="2" s="1"/>
  <c r="O18" i="2" a="1"/>
  <c r="O18" i="2"/>
  <c r="O19" i="2" a="1"/>
  <c r="O19" i="2" s="1"/>
  <c r="O20" i="2" a="1"/>
  <c r="O20" i="2"/>
  <c r="O21" i="2" a="1"/>
  <c r="O21" i="2" s="1"/>
  <c r="O22" i="2" a="1"/>
  <c r="O22" i="2"/>
  <c r="O23" i="2" a="1"/>
  <c r="O23" i="2" s="1"/>
  <c r="O24" i="2" a="1"/>
  <c r="O24" i="2"/>
  <c r="O25" i="2" a="1"/>
  <c r="O25" i="2" s="1"/>
  <c r="O26" i="2" a="1"/>
  <c r="O26" i="2"/>
  <c r="O27" i="2" a="1"/>
  <c r="O27" i="2" s="1"/>
  <c r="O28" i="2" a="1"/>
  <c r="O28" i="2"/>
  <c r="O29" i="2" a="1"/>
  <c r="O29" i="2" s="1"/>
  <c r="O30" i="2" a="1"/>
  <c r="O30" i="2"/>
  <c r="O31" i="2" a="1"/>
  <c r="O31" i="2" s="1"/>
  <c r="O32" i="2" a="1"/>
  <c r="O32" i="2"/>
  <c r="O33" i="2" a="1"/>
  <c r="O33" i="2" s="1"/>
  <c r="O34" i="2" a="1"/>
  <c r="O34" i="2"/>
  <c r="O35" i="2" a="1"/>
  <c r="O35" i="2" s="1"/>
  <c r="O36" i="2" a="1"/>
  <c r="O36" i="2"/>
  <c r="O37" i="2" a="1"/>
  <c r="O37" i="2" s="1"/>
  <c r="O38" i="2" a="1"/>
  <c r="O38" i="2"/>
  <c r="O39" i="2" a="1"/>
  <c r="O39" i="2" s="1"/>
  <c r="O40" i="2" a="1"/>
  <c r="O40" i="2"/>
  <c r="O41" i="2" a="1"/>
  <c r="O41" i="2" s="1"/>
  <c r="O42" i="2" a="1"/>
  <c r="O42" i="2"/>
  <c r="O43" i="2" a="1"/>
  <c r="O43" i="2" s="1"/>
  <c r="O44" i="2" a="1"/>
  <c r="O44" i="2"/>
  <c r="O45" i="2" a="1"/>
  <c r="O45" i="2" s="1"/>
  <c r="O46" i="2" a="1"/>
  <c r="O46" i="2"/>
  <c r="O47" i="2" a="1"/>
  <c r="O47" i="2" s="1"/>
  <c r="O48" i="2" a="1"/>
  <c r="O48" i="2"/>
  <c r="O49" i="2" a="1"/>
  <c r="O49" i="2" s="1"/>
  <c r="O50" i="2" a="1"/>
  <c r="O50" i="2"/>
  <c r="O51" i="2" a="1"/>
  <c r="O51" i="2" s="1"/>
  <c r="O52" i="2" a="1"/>
  <c r="O52" i="2"/>
  <c r="O53" i="2" a="1"/>
  <c r="O53" i="2" s="1"/>
  <c r="O54" i="2" a="1"/>
  <c r="O54" i="2"/>
  <c r="O55" i="2" a="1"/>
  <c r="O55" i="2" s="1"/>
  <c r="O56" i="2" a="1"/>
  <c r="O56" i="2"/>
  <c r="O57" i="2" a="1"/>
  <c r="O57" i="2" s="1"/>
  <c r="O58" i="2" a="1"/>
  <c r="O58" i="2"/>
  <c r="O59" i="2" a="1"/>
  <c r="O59" i="2" s="1"/>
  <c r="O60" i="2" a="1"/>
  <c r="O60" i="2"/>
  <c r="O61" i="2" a="1"/>
  <c r="O61" i="2" s="1"/>
  <c r="O62" i="2" a="1"/>
  <c r="O62" i="2"/>
  <c r="O63" i="2" a="1"/>
  <c r="O63" i="2" s="1"/>
  <c r="O64" i="2" a="1"/>
  <c r="O64" i="2"/>
  <c r="O65" i="2" a="1"/>
  <c r="O65" i="2" s="1"/>
  <c r="O66" i="2" a="1"/>
  <c r="O66" i="2"/>
  <c r="O67" i="2" a="1"/>
  <c r="O67" i="2" s="1"/>
  <c r="O68" i="2" a="1"/>
  <c r="O68" i="2"/>
  <c r="O69" i="2" a="1"/>
  <c r="O69" i="2" s="1"/>
  <c r="O70" i="2" a="1"/>
  <c r="O70" i="2"/>
  <c r="O71" i="2" a="1"/>
  <c r="O71" i="2" s="1"/>
  <c r="O72" i="2" a="1"/>
  <c r="O72" i="2"/>
  <c r="O73" i="2" a="1"/>
  <c r="O73" i="2" s="1"/>
  <c r="O74" i="2" a="1"/>
  <c r="O74" i="2"/>
  <c r="O75" i="2" a="1"/>
  <c r="O75" i="2" s="1"/>
  <c r="O76" i="2" a="1"/>
  <c r="O76" i="2"/>
  <c r="O77" i="2" a="1"/>
  <c r="O77" i="2" s="1"/>
  <c r="O78" i="2" a="1"/>
  <c r="O78" i="2"/>
  <c r="O79" i="2" a="1"/>
  <c r="O79" i="2" s="1"/>
  <c r="O80" i="2" a="1"/>
  <c r="O80" i="2"/>
  <c r="O81" i="2" a="1"/>
  <c r="O81" i="2" s="1"/>
  <c r="O82" i="2" a="1"/>
  <c r="O82" i="2"/>
  <c r="O83" i="2" a="1"/>
  <c r="O83" i="2" s="1"/>
  <c r="O2" i="2" a="1"/>
  <c r="O2" i="2" s="1"/>
  <c r="J2" i="2" a="1"/>
  <c r="J2" i="2" s="1"/>
  <c r="K2" i="2" a="1"/>
  <c r="K2" i="2"/>
  <c r="L2" i="2" a="1"/>
  <c r="L2" i="2" s="1"/>
  <c r="M2" i="2" a="1"/>
  <c r="M2" i="2"/>
  <c r="N2" i="2" a="1"/>
  <c r="N2" i="2" s="1"/>
  <c r="J3" i="2" a="1"/>
  <c r="J3" i="2"/>
  <c r="K3" i="2" a="1"/>
  <c r="K3" i="2" s="1"/>
  <c r="L3" i="2" a="1"/>
  <c r="L3" i="2"/>
  <c r="M3" i="2" a="1"/>
  <c r="M3" i="2" s="1"/>
  <c r="N3" i="2" a="1"/>
  <c r="N3" i="2"/>
  <c r="J4" i="2" a="1"/>
  <c r="J4" i="2" s="1"/>
  <c r="K4" i="2" a="1"/>
  <c r="K4" i="2" s="1"/>
  <c r="L4" i="2" a="1"/>
  <c r="L4" i="2" s="1"/>
  <c r="M4" i="2" a="1"/>
  <c r="M4" i="2" s="1"/>
  <c r="N4" i="2" a="1"/>
  <c r="N4" i="2" s="1"/>
  <c r="J5" i="2" a="1"/>
  <c r="J5" i="2" s="1"/>
  <c r="K5" i="2" a="1"/>
  <c r="K5" i="2" s="1"/>
  <c r="L5" i="2" a="1"/>
  <c r="L5" i="2"/>
  <c r="M5" i="2" a="1"/>
  <c r="M5" i="2" s="1"/>
  <c r="N5" i="2" a="1"/>
  <c r="N5" i="2" s="1"/>
  <c r="J6" i="2" a="1"/>
  <c r="J6" i="2" s="1"/>
  <c r="K6" i="2" a="1"/>
  <c r="K6" i="2" s="1"/>
  <c r="L6" i="2" a="1"/>
  <c r="L6" i="2" s="1"/>
  <c r="M6" i="2" a="1"/>
  <c r="M6" i="2"/>
  <c r="N6" i="2" a="1"/>
  <c r="N6" i="2" s="1"/>
  <c r="J7" i="2" a="1"/>
  <c r="J7" i="2"/>
  <c r="K7" i="2" a="1"/>
  <c r="K7" i="2" s="1"/>
  <c r="L7" i="2" a="1"/>
  <c r="L7" i="2" s="1"/>
  <c r="M7" i="2" a="1"/>
  <c r="M7" i="2" s="1"/>
  <c r="N7" i="2" a="1"/>
  <c r="N7" i="2" s="1"/>
  <c r="J8" i="2" a="1"/>
  <c r="J8" i="2" s="1"/>
  <c r="K8" i="2" a="1"/>
  <c r="K8" i="2" s="1"/>
  <c r="L8" i="2" a="1"/>
  <c r="L8" i="2" s="1"/>
  <c r="M8" i="2" a="1"/>
  <c r="M8" i="2"/>
  <c r="N8" i="2" a="1"/>
  <c r="N8" i="2" s="1"/>
  <c r="J9" i="2" a="1"/>
  <c r="J9" i="2" s="1"/>
  <c r="K9" i="2" a="1"/>
  <c r="K9" i="2" s="1"/>
  <c r="L9" i="2" a="1"/>
  <c r="L9" i="2" s="1"/>
  <c r="M9" i="2" a="1"/>
  <c r="M9" i="2" s="1"/>
  <c r="N9" i="2" a="1"/>
  <c r="N9" i="2"/>
  <c r="J10" i="2" a="1"/>
  <c r="J10" i="2" s="1"/>
  <c r="K10" i="2" a="1"/>
  <c r="K10" i="2"/>
  <c r="L10" i="2" a="1"/>
  <c r="L10" i="2" s="1"/>
  <c r="M10" i="2" a="1"/>
  <c r="M10" i="2" s="1"/>
  <c r="N10" i="2" a="1"/>
  <c r="N10" i="2" s="1"/>
  <c r="J11" i="2" a="1"/>
  <c r="J11" i="2" s="1"/>
  <c r="K11" i="2" a="1"/>
  <c r="K11" i="2" s="1"/>
  <c r="L11" i="2" a="1"/>
  <c r="L11" i="2" s="1"/>
  <c r="M11" i="2" a="1"/>
  <c r="M11" i="2" s="1"/>
  <c r="N11" i="2" a="1"/>
  <c r="N11" i="2"/>
  <c r="J12" i="2" a="1"/>
  <c r="J12" i="2" s="1"/>
  <c r="K12" i="2" a="1"/>
  <c r="K12" i="2" s="1"/>
  <c r="L12" i="2" a="1"/>
  <c r="L12" i="2" s="1"/>
  <c r="M12" i="2" a="1"/>
  <c r="M12" i="2" s="1"/>
  <c r="N12" i="2" a="1"/>
  <c r="N12" i="2" s="1"/>
  <c r="J13" i="2" a="1"/>
  <c r="J13" i="2"/>
  <c r="K13" i="2" a="1"/>
  <c r="K13" i="2" s="1"/>
  <c r="L13" i="2" a="1"/>
  <c r="L13" i="2"/>
  <c r="M13" i="2" a="1"/>
  <c r="M13" i="2" s="1"/>
  <c r="N13" i="2" a="1"/>
  <c r="N13" i="2" s="1"/>
  <c r="J14" i="2" a="1"/>
  <c r="J14" i="2" s="1"/>
  <c r="K14" i="2" a="1"/>
  <c r="K14" i="2" s="1"/>
  <c r="L14" i="2" a="1"/>
  <c r="L14" i="2" s="1"/>
  <c r="M14" i="2" a="1"/>
  <c r="M14" i="2" s="1"/>
  <c r="N14" i="2" a="1"/>
  <c r="N14" i="2" s="1"/>
  <c r="J15" i="2" a="1"/>
  <c r="J15" i="2"/>
  <c r="K15" i="2" a="1"/>
  <c r="K15" i="2" s="1"/>
  <c r="L15" i="2" a="1"/>
  <c r="L15" i="2" s="1"/>
  <c r="M15" i="2" a="1"/>
  <c r="M15" i="2" s="1"/>
  <c r="N15" i="2" a="1"/>
  <c r="N15" i="2" s="1"/>
  <c r="J16" i="2" a="1"/>
  <c r="J16" i="2" s="1"/>
  <c r="K16" i="2" a="1"/>
  <c r="K16" i="2"/>
  <c r="L16" i="2" a="1"/>
  <c r="L16" i="2" s="1"/>
  <c r="M16" i="2" a="1"/>
  <c r="M16" i="2"/>
  <c r="N16" i="2" a="1"/>
  <c r="N16" i="2" s="1"/>
  <c r="J17" i="2" a="1"/>
  <c r="J17" i="2" s="1"/>
  <c r="K17" i="2" a="1"/>
  <c r="K17" i="2" s="1"/>
  <c r="L17" i="2" a="1"/>
  <c r="L17" i="2" s="1"/>
  <c r="M17" i="2" a="1"/>
  <c r="M17" i="2" s="1"/>
  <c r="N17" i="2" a="1"/>
  <c r="N17" i="2" s="1"/>
  <c r="J18" i="2" a="1"/>
  <c r="J18" i="2" s="1"/>
  <c r="K18" i="2" a="1"/>
  <c r="K18" i="2"/>
  <c r="L18" i="2" a="1"/>
  <c r="L18" i="2" s="1"/>
  <c r="M18" i="2" a="1"/>
  <c r="M18" i="2" s="1"/>
  <c r="N18" i="2" a="1"/>
  <c r="N18" i="2" s="1"/>
  <c r="J19" i="2" a="1"/>
  <c r="J19" i="2" s="1"/>
  <c r="K19" i="2" a="1"/>
  <c r="K19" i="2" s="1"/>
  <c r="L19" i="2" a="1"/>
  <c r="L19" i="2"/>
  <c r="M19" i="2" a="1"/>
  <c r="M19" i="2" s="1"/>
  <c r="N19" i="2" a="1"/>
  <c r="N19" i="2"/>
  <c r="J20" i="2" a="1"/>
  <c r="J20" i="2" s="1"/>
  <c r="K20" i="2" a="1"/>
  <c r="K20" i="2" s="1"/>
  <c r="L20" i="2" a="1"/>
  <c r="L20" i="2" s="1"/>
  <c r="M20" i="2" a="1"/>
  <c r="M20" i="2" s="1"/>
  <c r="N20" i="2" a="1"/>
  <c r="N20" i="2" s="1"/>
  <c r="J21" i="2" a="1"/>
  <c r="J21" i="2" s="1"/>
  <c r="K21" i="2" a="1"/>
  <c r="K21" i="2" s="1"/>
  <c r="L21" i="2" a="1"/>
  <c r="L21" i="2"/>
  <c r="M21" i="2" a="1"/>
  <c r="M21" i="2" s="1"/>
  <c r="N21" i="2" a="1"/>
  <c r="N21" i="2" s="1"/>
  <c r="J22" i="2" a="1"/>
  <c r="J22" i="2" s="1"/>
  <c r="K22" i="2" a="1"/>
  <c r="K22" i="2" s="1"/>
  <c r="L22" i="2" a="1"/>
  <c r="L22" i="2" s="1"/>
  <c r="M22" i="2" a="1"/>
  <c r="M22" i="2"/>
  <c r="N22" i="2" a="1"/>
  <c r="N22" i="2" s="1"/>
  <c r="J23" i="2" a="1"/>
  <c r="J23" i="2"/>
  <c r="K23" i="2" a="1"/>
  <c r="K23" i="2" s="1"/>
  <c r="L23" i="2" a="1"/>
  <c r="L23" i="2" s="1"/>
  <c r="M23" i="2" a="1"/>
  <c r="M23" i="2" s="1"/>
  <c r="N23" i="2" a="1"/>
  <c r="N23" i="2" s="1"/>
  <c r="J24" i="2" a="1"/>
  <c r="J24" i="2" s="1"/>
  <c r="K24" i="2" a="1"/>
  <c r="K24" i="2" s="1"/>
  <c r="L24" i="2" a="1"/>
  <c r="L24" i="2" s="1"/>
  <c r="M24" i="2" a="1"/>
  <c r="M24" i="2"/>
  <c r="N24" i="2" a="1"/>
  <c r="N24" i="2" s="1"/>
  <c r="J25" i="2" a="1"/>
  <c r="J25" i="2" s="1"/>
  <c r="K25" i="2" a="1"/>
  <c r="K25" i="2" s="1"/>
  <c r="L25" i="2" a="1"/>
  <c r="L25" i="2" s="1"/>
  <c r="M25" i="2" a="1"/>
  <c r="M25" i="2" s="1"/>
  <c r="N25" i="2" a="1"/>
  <c r="N25" i="2"/>
  <c r="J26" i="2" a="1"/>
  <c r="J26" i="2" s="1"/>
  <c r="K26" i="2" a="1"/>
  <c r="K26" i="2"/>
  <c r="L26" i="2" a="1"/>
  <c r="L26" i="2" s="1"/>
  <c r="M26" i="2" a="1"/>
  <c r="M26" i="2" s="1"/>
  <c r="N26" i="2" a="1"/>
  <c r="N26" i="2" s="1"/>
  <c r="J27" i="2" a="1"/>
  <c r="J27" i="2" s="1"/>
  <c r="K27" i="2" a="1"/>
  <c r="K27" i="2" s="1"/>
  <c r="L27" i="2" a="1"/>
  <c r="L27" i="2" s="1"/>
  <c r="M27" i="2" a="1"/>
  <c r="M27" i="2" s="1"/>
  <c r="N27" i="2" a="1"/>
  <c r="N27" i="2"/>
  <c r="J28" i="2" a="1"/>
  <c r="J28" i="2" s="1"/>
  <c r="K28" i="2" a="1"/>
  <c r="K28" i="2" s="1"/>
  <c r="L28" i="2" a="1"/>
  <c r="L28" i="2" s="1"/>
  <c r="M28" i="2" a="1"/>
  <c r="M28" i="2" s="1"/>
  <c r="N28" i="2" a="1"/>
  <c r="N28" i="2" s="1"/>
  <c r="J29" i="2" a="1"/>
  <c r="J29" i="2"/>
  <c r="K29" i="2" a="1"/>
  <c r="K29" i="2" s="1"/>
  <c r="L29" i="2" a="1"/>
  <c r="L29" i="2"/>
  <c r="M29" i="2" a="1"/>
  <c r="M29" i="2" s="1"/>
  <c r="N29" i="2" a="1"/>
  <c r="N29" i="2" s="1"/>
  <c r="J30" i="2" a="1"/>
  <c r="J30" i="2" s="1"/>
  <c r="K30" i="2" a="1"/>
  <c r="K30" i="2" s="1"/>
  <c r="L30" i="2" a="1"/>
  <c r="L30" i="2" s="1"/>
  <c r="M30" i="2" a="1"/>
  <c r="M30" i="2" s="1"/>
  <c r="N30" i="2" a="1"/>
  <c r="N30" i="2" s="1"/>
  <c r="J31" i="2" a="1"/>
  <c r="J31" i="2"/>
  <c r="K31" i="2" a="1"/>
  <c r="K31" i="2" s="1"/>
  <c r="L31" i="2" a="1"/>
  <c r="L31" i="2" s="1"/>
  <c r="M31" i="2" a="1"/>
  <c r="M31" i="2" s="1"/>
  <c r="N31" i="2" a="1"/>
  <c r="N31" i="2" s="1"/>
  <c r="J32" i="2" a="1"/>
  <c r="J32" i="2" s="1"/>
  <c r="K32" i="2" a="1"/>
  <c r="K32" i="2"/>
  <c r="L32" i="2" a="1"/>
  <c r="L32" i="2" s="1"/>
  <c r="M32" i="2" a="1"/>
  <c r="M32" i="2"/>
  <c r="N32" i="2" a="1"/>
  <c r="N32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J34" i="2" a="1"/>
  <c r="J34" i="2" s="1"/>
  <c r="K34" i="2" a="1"/>
  <c r="K34" i="2"/>
  <c r="L34" i="2" a="1"/>
  <c r="L34" i="2" s="1"/>
  <c r="M34" i="2" a="1"/>
  <c r="M34" i="2" s="1"/>
  <c r="N34" i="2" a="1"/>
  <c r="N34" i="2" s="1"/>
  <c r="J35" i="2" a="1"/>
  <c r="J35" i="2" s="1"/>
  <c r="K35" i="2" a="1"/>
  <c r="K35" i="2" s="1"/>
  <c r="L35" i="2" a="1"/>
  <c r="L35" i="2"/>
  <c r="M35" i="2" a="1"/>
  <c r="M35" i="2" s="1"/>
  <c r="N35" i="2" a="1"/>
  <c r="N35" i="2"/>
  <c r="J36" i="2" a="1"/>
  <c r="J36" i="2" s="1"/>
  <c r="K36" i="2" a="1"/>
  <c r="K36" i="2"/>
  <c r="L36" i="2" a="1"/>
  <c r="L36" i="2" s="1"/>
  <c r="M36" i="2" a="1"/>
  <c r="M36" i="2"/>
  <c r="N36" i="2" a="1"/>
  <c r="N36" i="2" s="1"/>
  <c r="J37" i="2" a="1"/>
  <c r="J37" i="2"/>
  <c r="K37" i="2" a="1"/>
  <c r="K37" i="2" s="1"/>
  <c r="L37" i="2" a="1"/>
  <c r="L37" i="2"/>
  <c r="M37" i="2" a="1"/>
  <c r="M37" i="2" s="1"/>
  <c r="N37" i="2" a="1"/>
  <c r="N37" i="2"/>
  <c r="J38" i="2" a="1"/>
  <c r="J38" i="2" s="1"/>
  <c r="K38" i="2" a="1"/>
  <c r="K38" i="2"/>
  <c r="L38" i="2" a="1"/>
  <c r="L38" i="2" s="1"/>
  <c r="M38" i="2" a="1"/>
  <c r="M38" i="2"/>
  <c r="N38" i="2" a="1"/>
  <c r="N38" i="2" s="1"/>
  <c r="J39" i="2" a="1"/>
  <c r="J39" i="2"/>
  <c r="K39" i="2" a="1"/>
  <c r="K39" i="2" s="1"/>
  <c r="L39" i="2" a="1"/>
  <c r="L39" i="2"/>
  <c r="M39" i="2" a="1"/>
  <c r="M39" i="2" s="1"/>
  <c r="N39" i="2" a="1"/>
  <c r="N39" i="2"/>
  <c r="J40" i="2" a="1"/>
  <c r="J40" i="2" s="1"/>
  <c r="K40" i="2" a="1"/>
  <c r="K40" i="2"/>
  <c r="L40" i="2" a="1"/>
  <c r="L40" i="2" s="1"/>
  <c r="M40" i="2" a="1"/>
  <c r="M40" i="2"/>
  <c r="N40" i="2" a="1"/>
  <c r="N40" i="2" s="1"/>
  <c r="J41" i="2" a="1"/>
  <c r="J41" i="2" s="1"/>
  <c r="K41" i="2" a="1"/>
  <c r="K41" i="2" s="1"/>
  <c r="L41" i="2" a="1"/>
  <c r="L41" i="2" s="1"/>
  <c r="M41" i="2" a="1"/>
  <c r="M41" i="2" s="1"/>
  <c r="N41" i="2" a="1"/>
  <c r="N41" i="2"/>
  <c r="J42" i="2" a="1"/>
  <c r="J42" i="2" s="1"/>
  <c r="K42" i="2" a="1"/>
  <c r="K42" i="2"/>
  <c r="L42" i="2" a="1"/>
  <c r="L42" i="2" s="1"/>
  <c r="M42" i="2" a="1"/>
  <c r="M42" i="2" s="1"/>
  <c r="N42" i="2" a="1"/>
  <c r="N42" i="2" s="1"/>
  <c r="J43" i="2" a="1"/>
  <c r="J43" i="2" s="1"/>
  <c r="K43" i="2" a="1"/>
  <c r="K43" i="2" s="1"/>
  <c r="L43" i="2" a="1"/>
  <c r="L43" i="2"/>
  <c r="M43" i="2" a="1"/>
  <c r="M43" i="2" s="1"/>
  <c r="N43" i="2" a="1"/>
  <c r="N43" i="2"/>
  <c r="J44" i="2" a="1"/>
  <c r="J44" i="2" s="1"/>
  <c r="K44" i="2" a="1"/>
  <c r="K44" i="2" s="1"/>
  <c r="L44" i="2" a="1"/>
  <c r="L44" i="2" s="1"/>
  <c r="M44" i="2" a="1"/>
  <c r="M44" i="2" s="1"/>
  <c r="N44" i="2" a="1"/>
  <c r="N44" i="2" s="1"/>
  <c r="J45" i="2" a="1"/>
  <c r="J45" i="2"/>
  <c r="K45" i="2" a="1"/>
  <c r="K45" i="2" s="1"/>
  <c r="L45" i="2" a="1"/>
  <c r="L45" i="2"/>
  <c r="M45" i="2" a="1"/>
  <c r="M45" i="2" s="1"/>
  <c r="N45" i="2" a="1"/>
  <c r="N45" i="2" s="1"/>
  <c r="J46" i="2" a="1"/>
  <c r="J46" i="2" s="1"/>
  <c r="K46" i="2" a="1"/>
  <c r="K46" i="2" s="1"/>
  <c r="L46" i="2" a="1"/>
  <c r="L46" i="2" s="1"/>
  <c r="M46" i="2" a="1"/>
  <c r="M46" i="2"/>
  <c r="N46" i="2" a="1"/>
  <c r="N46" i="2" s="1"/>
  <c r="J47" i="2" a="1"/>
  <c r="J47" i="2"/>
  <c r="K47" i="2" a="1"/>
  <c r="K47" i="2" s="1"/>
  <c r="L47" i="2" a="1"/>
  <c r="L47" i="2" s="1"/>
  <c r="M47" i="2" a="1"/>
  <c r="M47" i="2" s="1"/>
  <c r="N47" i="2" a="1"/>
  <c r="N47" i="2" s="1"/>
  <c r="J48" i="2" a="1"/>
  <c r="J48" i="2" s="1"/>
  <c r="K48" i="2" a="1"/>
  <c r="K48" i="2"/>
  <c r="L48" i="2" a="1"/>
  <c r="L48" i="2" s="1"/>
  <c r="M48" i="2" a="1"/>
  <c r="M48" i="2"/>
  <c r="N48" i="2" a="1"/>
  <c r="N48" i="2" s="1"/>
  <c r="J49" i="2" a="1"/>
  <c r="J49" i="2" s="1"/>
  <c r="K49" i="2" a="1"/>
  <c r="K49" i="2" s="1"/>
  <c r="L49" i="2" a="1"/>
  <c r="L49" i="2" s="1"/>
  <c r="M49" i="2" a="1"/>
  <c r="M49" i="2" s="1"/>
  <c r="N49" i="2" a="1"/>
  <c r="N49" i="2"/>
  <c r="J50" i="2" a="1"/>
  <c r="J50" i="2" s="1"/>
  <c r="K50" i="2" a="1"/>
  <c r="K50" i="2"/>
  <c r="L50" i="2" a="1"/>
  <c r="L50" i="2" s="1"/>
  <c r="M50" i="2" a="1"/>
  <c r="M50" i="2" s="1"/>
  <c r="N50" i="2" a="1"/>
  <c r="N50" i="2" s="1"/>
  <c r="J51" i="2" a="1"/>
  <c r="J51" i="2" s="1"/>
  <c r="K51" i="2" a="1"/>
  <c r="K51" i="2" s="1"/>
  <c r="L51" i="2" a="1"/>
  <c r="L51" i="2"/>
  <c r="M51" i="2" a="1"/>
  <c r="M51" i="2" s="1"/>
  <c r="N51" i="2" a="1"/>
  <c r="N51" i="2"/>
  <c r="J52" i="2" a="1"/>
  <c r="J52" i="2" s="1"/>
  <c r="K52" i="2" a="1"/>
  <c r="K52" i="2" s="1"/>
  <c r="L52" i="2" a="1"/>
  <c r="L52" i="2" s="1"/>
  <c r="M52" i="2" a="1"/>
  <c r="M52" i="2" s="1"/>
  <c r="N52" i="2" a="1"/>
  <c r="N52" i="2" s="1"/>
  <c r="J53" i="2" a="1"/>
  <c r="J53" i="2"/>
  <c r="K53" i="2" a="1"/>
  <c r="K53" i="2" s="1"/>
  <c r="L53" i="2" a="1"/>
  <c r="L53" i="2"/>
  <c r="M53" i="2" a="1"/>
  <c r="M53" i="2" s="1"/>
  <c r="N53" i="2" a="1"/>
  <c r="N53" i="2" s="1"/>
  <c r="J54" i="2" a="1"/>
  <c r="J54" i="2" s="1"/>
  <c r="K54" i="2" a="1"/>
  <c r="K54" i="2" s="1"/>
  <c r="L54" i="2" a="1"/>
  <c r="L54" i="2" s="1"/>
  <c r="M54" i="2" a="1"/>
  <c r="M54" i="2"/>
  <c r="N54" i="2" a="1"/>
  <c r="N54" i="2" s="1"/>
  <c r="J55" i="2" a="1"/>
  <c r="J55" i="2"/>
  <c r="K55" i="2" a="1"/>
  <c r="K55" i="2" s="1"/>
  <c r="L55" i="2" a="1"/>
  <c r="L55" i="2" s="1"/>
  <c r="M55" i="2" a="1"/>
  <c r="M55" i="2" s="1"/>
  <c r="N55" i="2" a="1"/>
  <c r="N55" i="2" s="1"/>
  <c r="J56" i="2" a="1"/>
  <c r="J56" i="2" s="1"/>
  <c r="K56" i="2" a="1"/>
  <c r="K56" i="2"/>
  <c r="L56" i="2" a="1"/>
  <c r="L56" i="2" s="1"/>
  <c r="M56" i="2" a="1"/>
  <c r="M56" i="2"/>
  <c r="N56" i="2" a="1"/>
  <c r="N56" i="2" s="1"/>
  <c r="J57" i="2" a="1"/>
  <c r="J57" i="2" s="1"/>
  <c r="K57" i="2" a="1"/>
  <c r="K57" i="2" s="1"/>
  <c r="L57" i="2" a="1"/>
  <c r="L57" i="2" s="1"/>
  <c r="M57" i="2" a="1"/>
  <c r="M57" i="2" s="1"/>
  <c r="N57" i="2" a="1"/>
  <c r="N57" i="2"/>
  <c r="J58" i="2" a="1"/>
  <c r="J58" i="2" s="1"/>
  <c r="K58" i="2" a="1"/>
  <c r="K58" i="2"/>
  <c r="L58" i="2" a="1"/>
  <c r="L58" i="2" s="1"/>
  <c r="M58" i="2" a="1"/>
  <c r="M58" i="2" s="1"/>
  <c r="N58" i="2" a="1"/>
  <c r="N58" i="2" s="1"/>
  <c r="J59" i="2" a="1"/>
  <c r="J59" i="2" s="1"/>
  <c r="K59" i="2" a="1"/>
  <c r="K59" i="2" s="1"/>
  <c r="L59" i="2" a="1"/>
  <c r="L59" i="2"/>
  <c r="M59" i="2" a="1"/>
  <c r="M59" i="2" s="1"/>
  <c r="N59" i="2" a="1"/>
  <c r="N59" i="2"/>
  <c r="J60" i="2" a="1"/>
  <c r="J60" i="2" s="1"/>
  <c r="K60" i="2" a="1"/>
  <c r="K60" i="2" s="1"/>
  <c r="L60" i="2" a="1"/>
  <c r="L60" i="2" s="1"/>
  <c r="M60" i="2" a="1"/>
  <c r="M60" i="2" s="1"/>
  <c r="N60" i="2" a="1"/>
  <c r="N60" i="2" s="1"/>
  <c r="J61" i="2" a="1"/>
  <c r="J61" i="2"/>
  <c r="K61" i="2" a="1"/>
  <c r="K61" i="2" s="1"/>
  <c r="L61" i="2" a="1"/>
  <c r="L61" i="2"/>
  <c r="M61" i="2" a="1"/>
  <c r="M61" i="2" s="1"/>
  <c r="N61" i="2" a="1"/>
  <c r="N61" i="2" s="1"/>
  <c r="J62" i="2" a="1"/>
  <c r="J62" i="2"/>
  <c r="K62" i="2" a="1"/>
  <c r="K62" i="2" s="1"/>
  <c r="L62" i="2" a="1"/>
  <c r="L62" i="2"/>
  <c r="M62" i="2" a="1"/>
  <c r="M62" i="2" s="1"/>
  <c r="N62" i="2" a="1"/>
  <c r="N62" i="2"/>
  <c r="J63" i="2" a="1"/>
  <c r="J63" i="2" s="1"/>
  <c r="K63" i="2" a="1"/>
  <c r="K63" i="2"/>
  <c r="L63" i="2" a="1"/>
  <c r="L63" i="2" s="1"/>
  <c r="M63" i="2" a="1"/>
  <c r="M63" i="2"/>
  <c r="N63" i="2" a="1"/>
  <c r="N63" i="2" s="1"/>
  <c r="J64" i="2" a="1"/>
  <c r="J64" i="2"/>
  <c r="K64" i="2" a="1"/>
  <c r="K64" i="2" s="1"/>
  <c r="L64" i="2" a="1"/>
  <c r="L64" i="2"/>
  <c r="M64" i="2" a="1"/>
  <c r="M64" i="2" s="1"/>
  <c r="N64" i="2" a="1"/>
  <c r="N64" i="2"/>
  <c r="J65" i="2" a="1"/>
  <c r="J65" i="2" s="1"/>
  <c r="K65" i="2" a="1"/>
  <c r="K65" i="2"/>
  <c r="L65" i="2" a="1"/>
  <c r="L65" i="2" s="1"/>
  <c r="M65" i="2" a="1"/>
  <c r="M65" i="2"/>
  <c r="N65" i="2" a="1"/>
  <c r="N65" i="2" s="1"/>
  <c r="J66" i="2" a="1"/>
  <c r="J66" i="2"/>
  <c r="K66" i="2" a="1"/>
  <c r="K66" i="2" s="1"/>
  <c r="L66" i="2" a="1"/>
  <c r="L66" i="2"/>
  <c r="M66" i="2" a="1"/>
  <c r="M66" i="2" s="1"/>
  <c r="N66" i="2" a="1"/>
  <c r="N66" i="2"/>
  <c r="J67" i="2" a="1"/>
  <c r="J67" i="2" s="1"/>
  <c r="K67" i="2" a="1"/>
  <c r="K67" i="2"/>
  <c r="L67" i="2" a="1"/>
  <c r="L67" i="2" s="1"/>
  <c r="M67" i="2" a="1"/>
  <c r="M67" i="2"/>
  <c r="N67" i="2" a="1"/>
  <c r="N67" i="2" s="1"/>
  <c r="J68" i="2" a="1"/>
  <c r="J68" i="2"/>
  <c r="K68" i="2" a="1"/>
  <c r="K68" i="2" s="1"/>
  <c r="L68" i="2" a="1"/>
  <c r="L68" i="2"/>
  <c r="M68" i="2" a="1"/>
  <c r="M68" i="2" s="1"/>
  <c r="N68" i="2" a="1"/>
  <c r="N68" i="2"/>
  <c r="J69" i="2" a="1"/>
  <c r="J69" i="2" s="1"/>
  <c r="K69" i="2" a="1"/>
  <c r="K69" i="2"/>
  <c r="L69" i="2" a="1"/>
  <c r="L69" i="2" s="1"/>
  <c r="M69" i="2" a="1"/>
  <c r="M69" i="2"/>
  <c r="N69" i="2" a="1"/>
  <c r="N69" i="2" s="1"/>
  <c r="J70" i="2" a="1"/>
  <c r="J70" i="2"/>
  <c r="K70" i="2" a="1"/>
  <c r="K70" i="2" s="1"/>
  <c r="L70" i="2" a="1"/>
  <c r="L70" i="2"/>
  <c r="M70" i="2" a="1"/>
  <c r="M70" i="2" s="1"/>
  <c r="N70" i="2" a="1"/>
  <c r="N70" i="2"/>
  <c r="J71" i="2" a="1"/>
  <c r="J71" i="2" s="1"/>
  <c r="K71" i="2" a="1"/>
  <c r="K71" i="2"/>
  <c r="L71" i="2" a="1"/>
  <c r="L71" i="2" s="1"/>
  <c r="M71" i="2" a="1"/>
  <c r="M71" i="2"/>
  <c r="N71" i="2" a="1"/>
  <c r="N71" i="2" s="1"/>
  <c r="J72" i="2" a="1"/>
  <c r="J72" i="2"/>
  <c r="K72" i="2" a="1"/>
  <c r="K72" i="2" s="1"/>
  <c r="L72" i="2" a="1"/>
  <c r="L72" i="2"/>
  <c r="M72" i="2" a="1"/>
  <c r="M72" i="2" s="1"/>
  <c r="N72" i="2" a="1"/>
  <c r="N72" i="2"/>
  <c r="J73" i="2" a="1"/>
  <c r="J73" i="2" s="1"/>
  <c r="K73" i="2" a="1"/>
  <c r="K73" i="2"/>
  <c r="L73" i="2" a="1"/>
  <c r="L73" i="2" s="1"/>
  <c r="M73" i="2" a="1"/>
  <c r="M73" i="2"/>
  <c r="N73" i="2" a="1"/>
  <c r="N73" i="2" s="1"/>
  <c r="J74" i="2" a="1"/>
  <c r="J74" i="2"/>
  <c r="K74" i="2" a="1"/>
  <c r="K74" i="2" s="1"/>
  <c r="L74" i="2" a="1"/>
  <c r="L74" i="2"/>
  <c r="M74" i="2" a="1"/>
  <c r="M74" i="2" s="1"/>
  <c r="N74" i="2" a="1"/>
  <c r="N74" i="2"/>
  <c r="J75" i="2" a="1"/>
  <c r="J75" i="2" s="1"/>
  <c r="K75" i="2" a="1"/>
  <c r="K75" i="2"/>
  <c r="L75" i="2" a="1"/>
  <c r="L75" i="2" s="1"/>
  <c r="M75" i="2" a="1"/>
  <c r="M75" i="2"/>
  <c r="N75" i="2" a="1"/>
  <c r="N75" i="2" s="1"/>
  <c r="J76" i="2" a="1"/>
  <c r="J76" i="2"/>
  <c r="K76" i="2" a="1"/>
  <c r="K76" i="2" s="1"/>
  <c r="L76" i="2" a="1"/>
  <c r="L76" i="2"/>
  <c r="M76" i="2" a="1"/>
  <c r="M76" i="2" s="1"/>
  <c r="N76" i="2" a="1"/>
  <c r="N76" i="2"/>
  <c r="J77" i="2" a="1"/>
  <c r="J77" i="2" s="1"/>
  <c r="K77" i="2" a="1"/>
  <c r="K77" i="2"/>
  <c r="L77" i="2" a="1"/>
  <c r="L77" i="2" s="1"/>
  <c r="M77" i="2" a="1"/>
  <c r="M77" i="2"/>
  <c r="N77" i="2" a="1"/>
  <c r="N77" i="2" s="1"/>
  <c r="J78" i="2" a="1"/>
  <c r="J78" i="2"/>
  <c r="K78" i="2" a="1"/>
  <c r="K78" i="2" s="1"/>
  <c r="L78" i="2" a="1"/>
  <c r="L78" i="2"/>
  <c r="M78" i="2" a="1"/>
  <c r="M78" i="2" s="1"/>
  <c r="N78" i="2" a="1"/>
  <c r="N78" i="2"/>
  <c r="J79" i="2" a="1"/>
  <c r="J79" i="2" s="1"/>
  <c r="K79" i="2" a="1"/>
  <c r="K79" i="2"/>
  <c r="L79" i="2" a="1"/>
  <c r="L79" i="2" s="1"/>
  <c r="M79" i="2" a="1"/>
  <c r="M79" i="2"/>
  <c r="N79" i="2" a="1"/>
  <c r="N79" i="2" s="1"/>
  <c r="J80" i="2" a="1"/>
  <c r="J80" i="2"/>
  <c r="K80" i="2" a="1"/>
  <c r="K80" i="2" s="1"/>
  <c r="L80" i="2" a="1"/>
  <c r="L80" i="2"/>
  <c r="M80" i="2" a="1"/>
  <c r="M80" i="2" s="1"/>
  <c r="N80" i="2" a="1"/>
  <c r="N80" i="2"/>
  <c r="J81" i="2" a="1"/>
  <c r="J81" i="2" s="1"/>
  <c r="K81" i="2" a="1"/>
  <c r="K81" i="2"/>
  <c r="L81" i="2" a="1"/>
  <c r="L81" i="2" s="1"/>
  <c r="M81" i="2" a="1"/>
  <c r="M81" i="2"/>
  <c r="N81" i="2" a="1"/>
  <c r="N81" i="2" s="1"/>
  <c r="J82" i="2" a="1"/>
  <c r="J82" i="2"/>
  <c r="K82" i="2" a="1"/>
  <c r="K82" i="2" s="1"/>
  <c r="L82" i="2" a="1"/>
  <c r="L82" i="2"/>
  <c r="M82" i="2" a="1"/>
  <c r="M82" i="2" s="1"/>
  <c r="N82" i="2" a="1"/>
  <c r="N82" i="2"/>
  <c r="J83" i="2" a="1"/>
  <c r="J83" i="2" s="1"/>
  <c r="K83" i="2" a="1"/>
  <c r="K83" i="2"/>
  <c r="L83" i="2" a="1"/>
  <c r="L83" i="2" s="1"/>
  <c r="M83" i="2" a="1"/>
  <c r="M83" i="2"/>
  <c r="N83" i="2" a="1"/>
  <c r="N83" i="2" s="1"/>
  <c r="F2" i="2" a="1"/>
  <c r="F2" i="2" s="1"/>
  <c r="G2" i="2" a="1"/>
  <c r="G2" i="2"/>
  <c r="H2" i="2" a="1"/>
  <c r="H2" i="2" s="1"/>
  <c r="I2" i="2" a="1"/>
  <c r="I2" i="2" s="1"/>
  <c r="F3" i="2" a="1"/>
  <c r="F3" i="2" s="1"/>
  <c r="G3" i="2" a="1"/>
  <c r="G3" i="2" s="1"/>
  <c r="H3" i="2" a="1"/>
  <c r="H3" i="2" s="1"/>
  <c r="I3" i="2" a="1"/>
  <c r="I3" i="2"/>
  <c r="F4" i="2" a="1"/>
  <c r="F4" i="2" s="1"/>
  <c r="G4" i="2" a="1"/>
  <c r="G4" i="2" s="1"/>
  <c r="H4" i="2" a="1"/>
  <c r="H4" i="2" s="1"/>
  <c r="I4" i="2" a="1"/>
  <c r="I4" i="2" s="1"/>
  <c r="F5" i="2" a="1"/>
  <c r="F5" i="2" s="1"/>
  <c r="G5" i="2" a="1"/>
  <c r="G5" i="2" s="1"/>
  <c r="H5" i="2" a="1"/>
  <c r="H5" i="2" s="1"/>
  <c r="I5" i="2" a="1"/>
  <c r="I5" i="2"/>
  <c r="F6" i="2" a="1"/>
  <c r="F6" i="2" s="1"/>
  <c r="G6" i="2" a="1"/>
  <c r="G6" i="2" s="1"/>
  <c r="H6" i="2" a="1"/>
  <c r="H6" i="2" s="1"/>
  <c r="I6" i="2" a="1"/>
  <c r="I6" i="2" s="1"/>
  <c r="F7" i="2" a="1"/>
  <c r="F7" i="2" s="1"/>
  <c r="G7" i="2" a="1"/>
  <c r="G7" i="2" s="1"/>
  <c r="H7" i="2" a="1"/>
  <c r="H7" i="2" s="1"/>
  <c r="I7" i="2" a="1"/>
  <c r="I7" i="2"/>
  <c r="F8" i="2" a="1"/>
  <c r="F8" i="2" s="1"/>
  <c r="G8" i="2" a="1"/>
  <c r="G8" i="2" s="1"/>
  <c r="H8" i="2" a="1"/>
  <c r="H8" i="2" s="1"/>
  <c r="I8" i="2" a="1"/>
  <c r="I8" i="2" s="1"/>
  <c r="F9" i="2" a="1"/>
  <c r="F9" i="2" s="1"/>
  <c r="G9" i="2" a="1"/>
  <c r="G9" i="2" s="1"/>
  <c r="H9" i="2" a="1"/>
  <c r="H9" i="2" s="1"/>
  <c r="I9" i="2" a="1"/>
  <c r="I9" i="2"/>
  <c r="F10" i="2" a="1"/>
  <c r="F10" i="2" s="1"/>
  <c r="G10" i="2" a="1"/>
  <c r="G10" i="2" s="1"/>
  <c r="H10" i="2" a="1"/>
  <c r="H10" i="2" s="1"/>
  <c r="I10" i="2" a="1"/>
  <c r="I10" i="2"/>
  <c r="F11" i="2" a="1"/>
  <c r="F11" i="2" s="1"/>
  <c r="G11" i="2" a="1"/>
  <c r="G11" i="2" s="1"/>
  <c r="H11" i="2" a="1"/>
  <c r="H11" i="2" s="1"/>
  <c r="I11" i="2" a="1"/>
  <c r="I11" i="2"/>
  <c r="F12" i="2" a="1"/>
  <c r="F12" i="2" s="1"/>
  <c r="G12" i="2" a="1"/>
  <c r="G12" i="2" s="1"/>
  <c r="H12" i="2" a="1"/>
  <c r="H12" i="2" s="1"/>
  <c r="I12" i="2" a="1"/>
  <c r="I12" i="2"/>
  <c r="F13" i="2" a="1"/>
  <c r="F13" i="2" s="1"/>
  <c r="G13" i="2" a="1"/>
  <c r="G13" i="2" s="1"/>
  <c r="H13" i="2" a="1"/>
  <c r="H13" i="2" s="1"/>
  <c r="I13" i="2" a="1"/>
  <c r="I13" i="2"/>
  <c r="F14" i="2" a="1"/>
  <c r="F14" i="2" s="1"/>
  <c r="G14" i="2" a="1"/>
  <c r="G14" i="2" s="1"/>
  <c r="H14" i="2" a="1"/>
  <c r="H14" i="2" s="1"/>
  <c r="I14" i="2" a="1"/>
  <c r="I14" i="2"/>
  <c r="F15" i="2" a="1"/>
  <c r="F15" i="2" s="1"/>
  <c r="G15" i="2" a="1"/>
  <c r="G15" i="2" s="1"/>
  <c r="H15" i="2" a="1"/>
  <c r="H15" i="2" s="1"/>
  <c r="I15" i="2" a="1"/>
  <c r="I15" i="2"/>
  <c r="F16" i="2" a="1"/>
  <c r="F16" i="2" s="1"/>
  <c r="G16" i="2" a="1"/>
  <c r="G16" i="2" s="1"/>
  <c r="H16" i="2" a="1"/>
  <c r="H16" i="2" s="1"/>
  <c r="I16" i="2" a="1"/>
  <c r="I16" i="2"/>
  <c r="F17" i="2" a="1"/>
  <c r="F17" i="2" s="1"/>
  <c r="G17" i="2" a="1"/>
  <c r="G17" i="2" s="1"/>
  <c r="H17" i="2" a="1"/>
  <c r="H17" i="2" s="1"/>
  <c r="I17" i="2" a="1"/>
  <c r="I17" i="2"/>
  <c r="F18" i="2" a="1"/>
  <c r="F18" i="2" s="1"/>
  <c r="G18" i="2" a="1"/>
  <c r="G18" i="2" s="1"/>
  <c r="H18" i="2" a="1"/>
  <c r="H18" i="2" s="1"/>
  <c r="I18" i="2" a="1"/>
  <c r="I18" i="2"/>
  <c r="F19" i="2" a="1"/>
  <c r="F19" i="2" s="1"/>
  <c r="G19" i="2" a="1"/>
  <c r="G19" i="2" s="1"/>
  <c r="H19" i="2" a="1"/>
  <c r="H19" i="2" s="1"/>
  <c r="I19" i="2" a="1"/>
  <c r="I19" i="2"/>
  <c r="F20" i="2" a="1"/>
  <c r="F20" i="2" s="1"/>
  <c r="G20" i="2" a="1"/>
  <c r="G20" i="2" s="1"/>
  <c r="H20" i="2" a="1"/>
  <c r="H20" i="2" s="1"/>
  <c r="I20" i="2" a="1"/>
  <c r="I20" i="2"/>
  <c r="F21" i="2" a="1"/>
  <c r="F21" i="2" s="1"/>
  <c r="G21" i="2" a="1"/>
  <c r="G21" i="2" s="1"/>
  <c r="H21" i="2" a="1"/>
  <c r="H21" i="2" s="1"/>
  <c r="I21" i="2" a="1"/>
  <c r="I21" i="2"/>
  <c r="F22" i="2" a="1"/>
  <c r="F22" i="2" s="1"/>
  <c r="G22" i="2" a="1"/>
  <c r="G22" i="2" s="1"/>
  <c r="H22" i="2" a="1"/>
  <c r="H22" i="2" s="1"/>
  <c r="I22" i="2" a="1"/>
  <c r="I22" i="2"/>
  <c r="F23" i="2" a="1"/>
  <c r="F23" i="2" s="1"/>
  <c r="G23" i="2" a="1"/>
  <c r="G23" i="2" s="1"/>
  <c r="H23" i="2" a="1"/>
  <c r="H23" i="2" s="1"/>
  <c r="I23" i="2" a="1"/>
  <c r="I23" i="2"/>
  <c r="F24" i="2" a="1"/>
  <c r="F24" i="2" s="1"/>
  <c r="G24" i="2" a="1"/>
  <c r="G24" i="2" s="1"/>
  <c r="H24" i="2" a="1"/>
  <c r="H24" i="2" s="1"/>
  <c r="I24" i="2" a="1"/>
  <c r="I24" i="2"/>
  <c r="F25" i="2" a="1"/>
  <c r="F25" i="2" s="1"/>
  <c r="G25" i="2" a="1"/>
  <c r="G25" i="2" s="1"/>
  <c r="H25" i="2" a="1"/>
  <c r="H25" i="2" s="1"/>
  <c r="I25" i="2" a="1"/>
  <c r="I25" i="2"/>
  <c r="F26" i="2" a="1"/>
  <c r="F26" i="2" s="1"/>
  <c r="G26" i="2" a="1"/>
  <c r="G26" i="2" s="1"/>
  <c r="H26" i="2" a="1"/>
  <c r="H26" i="2" s="1"/>
  <c r="I26" i="2" a="1"/>
  <c r="I26" i="2"/>
  <c r="F27" i="2" a="1"/>
  <c r="F27" i="2" s="1"/>
  <c r="G27" i="2" a="1"/>
  <c r="G27" i="2" s="1"/>
  <c r="H27" i="2" a="1"/>
  <c r="H27" i="2" s="1"/>
  <c r="I27" i="2" a="1"/>
  <c r="I27" i="2"/>
  <c r="F28" i="2" a="1"/>
  <c r="F28" i="2" s="1"/>
  <c r="G28" i="2" a="1"/>
  <c r="G28" i="2" s="1"/>
  <c r="H28" i="2" a="1"/>
  <c r="H28" i="2" s="1"/>
  <c r="I28" i="2" a="1"/>
  <c r="I28" i="2"/>
  <c r="F29" i="2" a="1"/>
  <c r="F29" i="2" s="1"/>
  <c r="G29" i="2" a="1"/>
  <c r="G29" i="2" s="1"/>
  <c r="H29" i="2" a="1"/>
  <c r="H29" i="2" s="1"/>
  <c r="I29" i="2" a="1"/>
  <c r="I29" i="2"/>
  <c r="F30" i="2" a="1"/>
  <c r="F30" i="2" s="1"/>
  <c r="G30" i="2" a="1"/>
  <c r="G30" i="2" s="1"/>
  <c r="H30" i="2" a="1"/>
  <c r="H30" i="2" s="1"/>
  <c r="I30" i="2" a="1"/>
  <c r="I30" i="2"/>
  <c r="F31" i="2" a="1"/>
  <c r="F31" i="2" s="1"/>
  <c r="G31" i="2" a="1"/>
  <c r="G31" i="2" s="1"/>
  <c r="H31" i="2" a="1"/>
  <c r="H31" i="2" s="1"/>
  <c r="I31" i="2" a="1"/>
  <c r="I31" i="2"/>
  <c r="F32" i="2" a="1"/>
  <c r="F32" i="2" s="1"/>
  <c r="G32" i="2" a="1"/>
  <c r="G32" i="2" s="1"/>
  <c r="H32" i="2" a="1"/>
  <c r="H32" i="2" s="1"/>
  <c r="I32" i="2" a="1"/>
  <c r="I32" i="2"/>
  <c r="F33" i="2" a="1"/>
  <c r="F33" i="2" s="1"/>
  <c r="G33" i="2" a="1"/>
  <c r="G33" i="2" s="1"/>
  <c r="H33" i="2" a="1"/>
  <c r="H33" i="2" s="1"/>
  <c r="I33" i="2" a="1"/>
  <c r="I33" i="2"/>
  <c r="F34" i="2" a="1"/>
  <c r="F34" i="2" s="1"/>
  <c r="G34" i="2" a="1"/>
  <c r="G34" i="2" s="1"/>
  <c r="H34" i="2" a="1"/>
  <c r="H34" i="2" s="1"/>
  <c r="I34" i="2" a="1"/>
  <c r="I34" i="2"/>
  <c r="F35" i="2" a="1"/>
  <c r="F35" i="2" s="1"/>
  <c r="G35" i="2" a="1"/>
  <c r="G35" i="2" s="1"/>
  <c r="H35" i="2" a="1"/>
  <c r="H35" i="2" s="1"/>
  <c r="I35" i="2" a="1"/>
  <c r="I35" i="2"/>
  <c r="F36" i="2" a="1"/>
  <c r="F36" i="2" s="1"/>
  <c r="G36" i="2" a="1"/>
  <c r="G36" i="2" s="1"/>
  <c r="H36" i="2" a="1"/>
  <c r="H36" i="2" s="1"/>
  <c r="I36" i="2" a="1"/>
  <c r="I36" i="2"/>
  <c r="F37" i="2" a="1"/>
  <c r="F37" i="2" s="1"/>
  <c r="G37" i="2" a="1"/>
  <c r="G37" i="2" s="1"/>
  <c r="H37" i="2" a="1"/>
  <c r="H37" i="2" s="1"/>
  <c r="I37" i="2" a="1"/>
  <c r="I37" i="2"/>
  <c r="F38" i="2" a="1"/>
  <c r="F38" i="2" s="1"/>
  <c r="G38" i="2" a="1"/>
  <c r="G38" i="2" s="1"/>
  <c r="H38" i="2" a="1"/>
  <c r="H38" i="2" s="1"/>
  <c r="I38" i="2" a="1"/>
  <c r="I38" i="2"/>
  <c r="F39" i="2" a="1"/>
  <c r="F39" i="2" s="1"/>
  <c r="G39" i="2" a="1"/>
  <c r="G39" i="2" s="1"/>
  <c r="H39" i="2" a="1"/>
  <c r="H39" i="2" s="1"/>
  <c r="I39" i="2" a="1"/>
  <c r="I39" i="2"/>
  <c r="F40" i="2" a="1"/>
  <c r="F40" i="2" s="1"/>
  <c r="G40" i="2" a="1"/>
  <c r="G40" i="2" s="1"/>
  <c r="H40" i="2" a="1"/>
  <c r="H40" i="2" s="1"/>
  <c r="I40" i="2" a="1"/>
  <c r="I40" i="2"/>
  <c r="F41" i="2" a="1"/>
  <c r="F41" i="2" s="1"/>
  <c r="G41" i="2" a="1"/>
  <c r="G41" i="2" s="1"/>
  <c r="H41" i="2" a="1"/>
  <c r="H41" i="2" s="1"/>
  <c r="I41" i="2" a="1"/>
  <c r="I41" i="2"/>
  <c r="F42" i="2" a="1"/>
  <c r="F42" i="2" s="1"/>
  <c r="G42" i="2" a="1"/>
  <c r="G42" i="2" s="1"/>
  <c r="H42" i="2" a="1"/>
  <c r="H42" i="2" s="1"/>
  <c r="I42" i="2" a="1"/>
  <c r="I42" i="2"/>
  <c r="F43" i="2" a="1"/>
  <c r="F43" i="2" s="1"/>
  <c r="G43" i="2" a="1"/>
  <c r="G43" i="2" s="1"/>
  <c r="H43" i="2" a="1"/>
  <c r="H43" i="2" s="1"/>
  <c r="I43" i="2" a="1"/>
  <c r="I43" i="2"/>
  <c r="F44" i="2" a="1"/>
  <c r="F44" i="2" s="1"/>
  <c r="G44" i="2" a="1"/>
  <c r="G44" i="2" s="1"/>
  <c r="H44" i="2" a="1"/>
  <c r="H44" i="2" s="1"/>
  <c r="I44" i="2" a="1"/>
  <c r="I44" i="2" s="1"/>
  <c r="F45" i="2" a="1"/>
  <c r="F45" i="2" s="1"/>
  <c r="G45" i="2" a="1"/>
  <c r="G45" i="2" s="1"/>
  <c r="H45" i="2" a="1"/>
  <c r="H45" i="2" s="1"/>
  <c r="I45" i="2" a="1"/>
  <c r="I45" i="2" s="1"/>
  <c r="F46" i="2" a="1"/>
  <c r="F46" i="2" s="1"/>
  <c r="G46" i="2" a="1"/>
  <c r="G46" i="2" s="1"/>
  <c r="H46" i="2" a="1"/>
  <c r="H46" i="2" s="1"/>
  <c r="I46" i="2" a="1"/>
  <c r="I46" i="2" s="1"/>
  <c r="F47" i="2" a="1"/>
  <c r="F47" i="2" s="1"/>
  <c r="G47" i="2" a="1"/>
  <c r="G47" i="2" s="1"/>
  <c r="H47" i="2" a="1"/>
  <c r="H47" i="2" s="1"/>
  <c r="I47" i="2" a="1"/>
  <c r="I47" i="2" s="1"/>
  <c r="F48" i="2" a="1"/>
  <c r="F48" i="2" s="1"/>
  <c r="G48" i="2" a="1"/>
  <c r="G48" i="2" s="1"/>
  <c r="H48" i="2" a="1"/>
  <c r="H48" i="2" s="1"/>
  <c r="I48" i="2" a="1"/>
  <c r="I48" i="2" s="1"/>
  <c r="F49" i="2" a="1"/>
  <c r="F49" i="2" s="1"/>
  <c r="G49" i="2" a="1"/>
  <c r="G49" i="2" s="1"/>
  <c r="H49" i="2" a="1"/>
  <c r="H49" i="2" s="1"/>
  <c r="I49" i="2" a="1"/>
  <c r="I49" i="2" s="1"/>
  <c r="F50" i="2" a="1"/>
  <c r="F50" i="2" s="1"/>
  <c r="G50" i="2" a="1"/>
  <c r="G50" i="2" s="1"/>
  <c r="H50" i="2" a="1"/>
  <c r="H50" i="2" s="1"/>
  <c r="I50" i="2" a="1"/>
  <c r="I50" i="2" s="1"/>
  <c r="F51" i="2" a="1"/>
  <c r="F51" i="2" s="1"/>
  <c r="G51" i="2" a="1"/>
  <c r="G51" i="2" s="1"/>
  <c r="H51" i="2" a="1"/>
  <c r="H51" i="2" s="1"/>
  <c r="I51" i="2" a="1"/>
  <c r="I51" i="2" s="1"/>
  <c r="F52" i="2" a="1"/>
  <c r="F52" i="2" s="1"/>
  <c r="G52" i="2" a="1"/>
  <c r="G52" i="2" s="1"/>
  <c r="H52" i="2" a="1"/>
  <c r="H52" i="2" s="1"/>
  <c r="I52" i="2" a="1"/>
  <c r="I52" i="2" s="1"/>
  <c r="F53" i="2" a="1"/>
  <c r="F53" i="2" s="1"/>
  <c r="G53" i="2" a="1"/>
  <c r="G53" i="2" s="1"/>
  <c r="H53" i="2" a="1"/>
  <c r="H53" i="2" s="1"/>
  <c r="I53" i="2" a="1"/>
  <c r="I53" i="2" s="1"/>
  <c r="F54" i="2" a="1"/>
  <c r="F54" i="2" s="1"/>
  <c r="G54" i="2" a="1"/>
  <c r="G54" i="2" s="1"/>
  <c r="H54" i="2" a="1"/>
  <c r="H54" i="2" s="1"/>
  <c r="I54" i="2" a="1"/>
  <c r="I54" i="2" s="1"/>
  <c r="F55" i="2" a="1"/>
  <c r="F55" i="2" s="1"/>
  <c r="G55" i="2" a="1"/>
  <c r="G55" i="2" s="1"/>
  <c r="H55" i="2" a="1"/>
  <c r="H55" i="2" s="1"/>
  <c r="I55" i="2" a="1"/>
  <c r="I55" i="2" s="1"/>
  <c r="F56" i="2" a="1"/>
  <c r="F56" i="2" s="1"/>
  <c r="G56" i="2" a="1"/>
  <c r="G56" i="2" s="1"/>
  <c r="H56" i="2" a="1"/>
  <c r="H56" i="2" s="1"/>
  <c r="I56" i="2" a="1"/>
  <c r="I56" i="2" s="1"/>
  <c r="F57" i="2" a="1"/>
  <c r="F57" i="2" s="1"/>
  <c r="G57" i="2" a="1"/>
  <c r="G57" i="2" s="1"/>
  <c r="H57" i="2" a="1"/>
  <c r="H57" i="2" s="1"/>
  <c r="I57" i="2" a="1"/>
  <c r="I57" i="2" s="1"/>
  <c r="F58" i="2" a="1"/>
  <c r="F58" i="2" s="1"/>
  <c r="G58" i="2" a="1"/>
  <c r="G58" i="2" s="1"/>
  <c r="H58" i="2" a="1"/>
  <c r="H58" i="2" s="1"/>
  <c r="I58" i="2" a="1"/>
  <c r="I58" i="2" s="1"/>
  <c r="F59" i="2" a="1"/>
  <c r="F59" i="2" s="1"/>
  <c r="G59" i="2" a="1"/>
  <c r="G59" i="2" s="1"/>
  <c r="H59" i="2" a="1"/>
  <c r="H59" i="2" s="1"/>
  <c r="I59" i="2" a="1"/>
  <c r="I59" i="2" s="1"/>
  <c r="F60" i="2" a="1"/>
  <c r="F60" i="2" s="1"/>
  <c r="G60" i="2" a="1"/>
  <c r="G60" i="2" s="1"/>
  <c r="H60" i="2" a="1"/>
  <c r="H60" i="2" s="1"/>
  <c r="I60" i="2" a="1"/>
  <c r="I60" i="2" s="1"/>
  <c r="F61" i="2" a="1"/>
  <c r="F61" i="2" s="1"/>
  <c r="G61" i="2" a="1"/>
  <c r="G61" i="2" s="1"/>
  <c r="H61" i="2" a="1"/>
  <c r="H61" i="2" s="1"/>
  <c r="I61" i="2" a="1"/>
  <c r="I61" i="2" s="1"/>
  <c r="F62" i="2" a="1"/>
  <c r="F62" i="2" s="1"/>
  <c r="G62" i="2" a="1"/>
  <c r="G62" i="2" s="1"/>
  <c r="H62" i="2" a="1"/>
  <c r="H62" i="2" s="1"/>
  <c r="I62" i="2" a="1"/>
  <c r="I62" i="2" s="1"/>
  <c r="F63" i="2" a="1"/>
  <c r="F63" i="2" s="1"/>
  <c r="G63" i="2" a="1"/>
  <c r="G63" i="2" s="1"/>
  <c r="H63" i="2" a="1"/>
  <c r="H63" i="2" s="1"/>
  <c r="I63" i="2" a="1"/>
  <c r="I63" i="2" s="1"/>
  <c r="F64" i="2" a="1"/>
  <c r="F64" i="2" s="1"/>
  <c r="G64" i="2" a="1"/>
  <c r="G64" i="2" s="1"/>
  <c r="H64" i="2" a="1"/>
  <c r="H64" i="2" s="1"/>
  <c r="I64" i="2" a="1"/>
  <c r="I64" i="2" s="1"/>
  <c r="F65" i="2" a="1"/>
  <c r="F65" i="2" s="1"/>
  <c r="G65" i="2" a="1"/>
  <c r="G65" i="2" s="1"/>
  <c r="H65" i="2" a="1"/>
  <c r="H65" i="2" s="1"/>
  <c r="I65" i="2" a="1"/>
  <c r="I65" i="2" s="1"/>
  <c r="F66" i="2" a="1"/>
  <c r="F66" i="2" s="1"/>
  <c r="G66" i="2" a="1"/>
  <c r="G66" i="2" s="1"/>
  <c r="H66" i="2" a="1"/>
  <c r="H66" i="2" s="1"/>
  <c r="I66" i="2" a="1"/>
  <c r="I66" i="2" s="1"/>
  <c r="F67" i="2" a="1"/>
  <c r="F67" i="2" s="1"/>
  <c r="G67" i="2" a="1"/>
  <c r="G67" i="2" s="1"/>
  <c r="H67" i="2" a="1"/>
  <c r="H67" i="2" s="1"/>
  <c r="I67" i="2" a="1"/>
  <c r="I67" i="2" s="1"/>
  <c r="F68" i="2" a="1"/>
  <c r="F68" i="2" s="1"/>
  <c r="G68" i="2" a="1"/>
  <c r="G68" i="2" s="1"/>
  <c r="H68" i="2" a="1"/>
  <c r="H68" i="2" s="1"/>
  <c r="I68" i="2" a="1"/>
  <c r="I68" i="2" s="1"/>
  <c r="F69" i="2" a="1"/>
  <c r="F69" i="2" s="1"/>
  <c r="G69" i="2" a="1"/>
  <c r="G69" i="2" s="1"/>
  <c r="H69" i="2" a="1"/>
  <c r="H69" i="2" s="1"/>
  <c r="I69" i="2" a="1"/>
  <c r="I69" i="2" s="1"/>
  <c r="F70" i="2" a="1"/>
  <c r="F70" i="2" s="1"/>
  <c r="G70" i="2" a="1"/>
  <c r="G70" i="2" s="1"/>
  <c r="H70" i="2" a="1"/>
  <c r="H70" i="2" s="1"/>
  <c r="I70" i="2" a="1"/>
  <c r="I70" i="2" s="1"/>
  <c r="F71" i="2" a="1"/>
  <c r="F71" i="2" s="1"/>
  <c r="G71" i="2" a="1"/>
  <c r="G71" i="2" s="1"/>
  <c r="H71" i="2" a="1"/>
  <c r="H71" i="2" s="1"/>
  <c r="I71" i="2" a="1"/>
  <c r="I71" i="2" s="1"/>
  <c r="F72" i="2" a="1"/>
  <c r="F72" i="2" s="1"/>
  <c r="G72" i="2" a="1"/>
  <c r="G72" i="2" s="1"/>
  <c r="H72" i="2" a="1"/>
  <c r="H72" i="2" s="1"/>
  <c r="I72" i="2" a="1"/>
  <c r="I72" i="2" s="1"/>
  <c r="F73" i="2" a="1"/>
  <c r="F73" i="2" s="1"/>
  <c r="G73" i="2" a="1"/>
  <c r="G73" i="2" s="1"/>
  <c r="H73" i="2" a="1"/>
  <c r="H73" i="2" s="1"/>
  <c r="I73" i="2" a="1"/>
  <c r="I73" i="2" s="1"/>
  <c r="F74" i="2" a="1"/>
  <c r="F74" i="2" s="1"/>
  <c r="G74" i="2" a="1"/>
  <c r="G74" i="2" s="1"/>
  <c r="H74" i="2" a="1"/>
  <c r="H74" i="2" s="1"/>
  <c r="I74" i="2" a="1"/>
  <c r="I74" i="2" s="1"/>
  <c r="F75" i="2" a="1"/>
  <c r="F75" i="2" s="1"/>
  <c r="G75" i="2" a="1"/>
  <c r="G75" i="2" s="1"/>
  <c r="H75" i="2" a="1"/>
  <c r="H75" i="2" s="1"/>
  <c r="I75" i="2" a="1"/>
  <c r="I75" i="2" s="1"/>
  <c r="F76" i="2" a="1"/>
  <c r="F76" i="2" s="1"/>
  <c r="G76" i="2" a="1"/>
  <c r="G76" i="2" s="1"/>
  <c r="H76" i="2" a="1"/>
  <c r="H76" i="2" s="1"/>
  <c r="I76" i="2" a="1"/>
  <c r="I76" i="2" s="1"/>
  <c r="F77" i="2" a="1"/>
  <c r="F77" i="2" s="1"/>
  <c r="G77" i="2" a="1"/>
  <c r="G77" i="2" s="1"/>
  <c r="H77" i="2" a="1"/>
  <c r="H77" i="2" s="1"/>
  <c r="I77" i="2" a="1"/>
  <c r="I77" i="2" s="1"/>
  <c r="F78" i="2" a="1"/>
  <c r="F78" i="2" s="1"/>
  <c r="G78" i="2" a="1"/>
  <c r="G78" i="2" s="1"/>
  <c r="H78" i="2" a="1"/>
  <c r="H78" i="2" s="1"/>
  <c r="I78" i="2" a="1"/>
  <c r="I78" i="2" s="1"/>
  <c r="F79" i="2" a="1"/>
  <c r="F79" i="2" s="1"/>
  <c r="G79" i="2" a="1"/>
  <c r="G79" i="2" s="1"/>
  <c r="H79" i="2" a="1"/>
  <c r="H79" i="2" s="1"/>
  <c r="I79" i="2" a="1"/>
  <c r="I79" i="2" s="1"/>
  <c r="F80" i="2" a="1"/>
  <c r="F80" i="2" s="1"/>
  <c r="G80" i="2" a="1"/>
  <c r="G80" i="2" s="1"/>
  <c r="H80" i="2" a="1"/>
  <c r="H80" i="2" s="1"/>
  <c r="I80" i="2" a="1"/>
  <c r="I80" i="2" s="1"/>
  <c r="F81" i="2" a="1"/>
  <c r="F81" i="2" s="1"/>
  <c r="G81" i="2" a="1"/>
  <c r="G81" i="2" s="1"/>
  <c r="H81" i="2" a="1"/>
  <c r="H81" i="2" s="1"/>
  <c r="I81" i="2" a="1"/>
  <c r="I81" i="2" s="1"/>
  <c r="F82" i="2" a="1"/>
  <c r="F82" i="2" s="1"/>
  <c r="G82" i="2" a="1"/>
  <c r="G82" i="2" s="1"/>
  <c r="H82" i="2" a="1"/>
  <c r="H82" i="2" s="1"/>
  <c r="I82" i="2" a="1"/>
  <c r="I82" i="2" s="1"/>
  <c r="F83" i="2" a="1"/>
  <c r="F83" i="2" s="1"/>
  <c r="G83" i="2" a="1"/>
  <c r="G83" i="2" s="1"/>
  <c r="H83" i="2" a="1"/>
  <c r="H83" i="2" s="1"/>
  <c r="I83" i="2" a="1"/>
  <c r="I83" i="2" s="1"/>
  <c r="E3" i="2" a="1"/>
  <c r="E3" i="2" s="1"/>
  <c r="E4" i="2" a="1"/>
  <c r="E4" i="2"/>
  <c r="E5" i="2" a="1"/>
  <c r="E5" i="2" s="1"/>
  <c r="E6" i="2" a="1"/>
  <c r="E6" i="2"/>
  <c r="E7" i="2" a="1"/>
  <c r="E7" i="2" s="1"/>
  <c r="E8" i="2" a="1"/>
  <c r="E8" i="2"/>
  <c r="E9" i="2" a="1"/>
  <c r="E9" i="2" s="1"/>
  <c r="E10" i="2" a="1"/>
  <c r="E10" i="2"/>
  <c r="E11" i="2" a="1"/>
  <c r="E11" i="2" s="1"/>
  <c r="E12" i="2" a="1"/>
  <c r="E12" i="2"/>
  <c r="E13" i="2" a="1"/>
  <c r="E13" i="2" s="1"/>
  <c r="E14" i="2" a="1"/>
  <c r="E14" i="2"/>
  <c r="E15" i="2" a="1"/>
  <c r="E15" i="2" s="1"/>
  <c r="E16" i="2" a="1"/>
  <c r="E16" i="2"/>
  <c r="E17" i="2" a="1"/>
  <c r="E17" i="2" s="1"/>
  <c r="E18" i="2" a="1"/>
  <c r="E18" i="2"/>
  <c r="E19" i="2" a="1"/>
  <c r="E19" i="2" s="1"/>
  <c r="E20" i="2" a="1"/>
  <c r="E20" i="2"/>
  <c r="E21" i="2" a="1"/>
  <c r="E21" i="2" s="1"/>
  <c r="E22" i="2" a="1"/>
  <c r="E22" i="2"/>
  <c r="E23" i="2" a="1"/>
  <c r="E23" i="2" s="1"/>
  <c r="E24" i="2" a="1"/>
  <c r="E24" i="2"/>
  <c r="E25" i="2" a="1"/>
  <c r="E25" i="2" s="1"/>
  <c r="E26" i="2" a="1"/>
  <c r="E26" i="2"/>
  <c r="E27" i="2" a="1"/>
  <c r="E27" i="2" s="1"/>
  <c r="E28" i="2" a="1"/>
  <c r="E28" i="2"/>
  <c r="E29" i="2" a="1"/>
  <c r="E29" i="2" s="1"/>
  <c r="E30" i="2" a="1"/>
  <c r="E30" i="2"/>
  <c r="E31" i="2" a="1"/>
  <c r="E31" i="2" s="1"/>
  <c r="E32" i="2" a="1"/>
  <c r="E32" i="2"/>
  <c r="E33" i="2" a="1"/>
  <c r="E33" i="2" s="1"/>
  <c r="E34" i="2" a="1"/>
  <c r="E34" i="2"/>
  <c r="E35" i="2" a="1"/>
  <c r="E35" i="2" s="1"/>
  <c r="E36" i="2" a="1"/>
  <c r="E36" i="2"/>
  <c r="E37" i="2" a="1"/>
  <c r="E37" i="2" s="1"/>
  <c r="E38" i="2" a="1"/>
  <c r="E38" i="2"/>
  <c r="E39" i="2" a="1"/>
  <c r="E39" i="2" s="1"/>
  <c r="E40" i="2" a="1"/>
  <c r="E40" i="2"/>
  <c r="E41" i="2" a="1"/>
  <c r="E41" i="2" s="1"/>
  <c r="E42" i="2" a="1"/>
  <c r="E42" i="2"/>
  <c r="E43" i="2" a="1"/>
  <c r="E43" i="2" s="1"/>
  <c r="E44" i="2" a="1"/>
  <c r="E44" i="2"/>
  <c r="E45" i="2" a="1"/>
  <c r="E45" i="2" s="1"/>
  <c r="E46" i="2" a="1"/>
  <c r="E46" i="2"/>
  <c r="E47" i="2" a="1"/>
  <c r="E47" i="2" s="1"/>
  <c r="E48" i="2" a="1"/>
  <c r="E48" i="2"/>
  <c r="E49" i="2" a="1"/>
  <c r="E49" i="2" s="1"/>
  <c r="E50" i="2" a="1"/>
  <c r="E50" i="2"/>
  <c r="E51" i="2" a="1"/>
  <c r="E51" i="2" s="1"/>
  <c r="E52" i="2" a="1"/>
  <c r="E52" i="2"/>
  <c r="E53" i="2" a="1"/>
  <c r="E53" i="2" s="1"/>
  <c r="E54" i="2" a="1"/>
  <c r="E54" i="2"/>
  <c r="E55" i="2" a="1"/>
  <c r="E55" i="2" s="1"/>
  <c r="E56" i="2" a="1"/>
  <c r="E56" i="2"/>
  <c r="E57" i="2" a="1"/>
  <c r="E57" i="2" s="1"/>
  <c r="E58" i="2" a="1"/>
  <c r="E58" i="2"/>
  <c r="E59" i="2" a="1"/>
  <c r="E59" i="2" s="1"/>
  <c r="E60" i="2" a="1"/>
  <c r="E60" i="2"/>
  <c r="E61" i="2" a="1"/>
  <c r="E61" i="2" s="1"/>
  <c r="E62" i="2" a="1"/>
  <c r="E62" i="2"/>
  <c r="E63" i="2" a="1"/>
  <c r="E63" i="2" s="1"/>
  <c r="E64" i="2" a="1"/>
  <c r="E64" i="2"/>
  <c r="E65" i="2" a="1"/>
  <c r="E65" i="2" s="1"/>
  <c r="E66" i="2" a="1"/>
  <c r="E66" i="2"/>
  <c r="E67" i="2" a="1"/>
  <c r="E67" i="2" s="1"/>
  <c r="E68" i="2" a="1"/>
  <c r="E68" i="2"/>
  <c r="E69" i="2" a="1"/>
  <c r="E69" i="2" s="1"/>
  <c r="E70" i="2" a="1"/>
  <c r="E70" i="2"/>
  <c r="E71" i="2" a="1"/>
  <c r="E71" i="2" s="1"/>
  <c r="E72" i="2" a="1"/>
  <c r="E72" i="2"/>
  <c r="E73" i="2" a="1"/>
  <c r="E73" i="2" s="1"/>
  <c r="E74" i="2" a="1"/>
  <c r="E74" i="2"/>
  <c r="E75" i="2" a="1"/>
  <c r="E75" i="2" s="1"/>
  <c r="E76" i="2" a="1"/>
  <c r="E76" i="2"/>
  <c r="E77" i="2" a="1"/>
  <c r="E77" i="2" s="1"/>
  <c r="E78" i="2" a="1"/>
  <c r="E78" i="2"/>
  <c r="E79" i="2" a="1"/>
  <c r="E79" i="2" s="1"/>
  <c r="E80" i="2" a="1"/>
  <c r="E80" i="2"/>
  <c r="E81" i="2" a="1"/>
  <c r="E81" i="2" s="1"/>
  <c r="E82" i="2" a="1"/>
  <c r="E82" i="2"/>
  <c r="E83" i="2" a="1"/>
  <c r="E83" i="2" s="1"/>
  <c r="E2" i="2" a="1"/>
  <c r="E2" i="2" s="1"/>
  <c r="D3" i="2" a="1"/>
  <c r="D3" i="2" s="1"/>
  <c r="D4" i="2" a="1"/>
  <c r="D4" i="2" s="1"/>
  <c r="D5" i="2" a="1"/>
  <c r="D5" i="2" s="1"/>
  <c r="D6" i="2" a="1"/>
  <c r="D6" i="2"/>
  <c r="D7" i="2" a="1"/>
  <c r="D7" i="2" s="1"/>
  <c r="D8" i="2" a="1"/>
  <c r="D8" i="2"/>
  <c r="D9" i="2" a="1"/>
  <c r="D9" i="2" s="1"/>
  <c r="D10" i="2" a="1"/>
  <c r="D10" i="2"/>
  <c r="D11" i="2" a="1"/>
  <c r="D11" i="2" s="1"/>
  <c r="D12" i="2" a="1"/>
  <c r="D12" i="2"/>
  <c r="D13" i="2" a="1"/>
  <c r="D13" i="2" s="1"/>
  <c r="D14" i="2" a="1"/>
  <c r="D14" i="2"/>
  <c r="D15" i="2" a="1"/>
  <c r="D15" i="2" s="1"/>
  <c r="D16" i="2" a="1"/>
  <c r="D16" i="2"/>
  <c r="D17" i="2" a="1"/>
  <c r="D17" i="2" s="1"/>
  <c r="D18" i="2" a="1"/>
  <c r="D18" i="2"/>
  <c r="D19" i="2" a="1"/>
  <c r="D19" i="2" s="1"/>
  <c r="D20" i="2" a="1"/>
  <c r="D20" i="2"/>
  <c r="D21" i="2" a="1"/>
  <c r="D21" i="2" s="1"/>
  <c r="D22" i="2" a="1"/>
  <c r="D22" i="2"/>
  <c r="D23" i="2" a="1"/>
  <c r="D23" i="2" s="1"/>
  <c r="D24" i="2" a="1"/>
  <c r="D24" i="2"/>
  <c r="D25" i="2" a="1"/>
  <c r="D25" i="2" s="1"/>
  <c r="D26" i="2" a="1"/>
  <c r="D26" i="2"/>
  <c r="D27" i="2" a="1"/>
  <c r="D27" i="2" s="1"/>
  <c r="D28" i="2" a="1"/>
  <c r="D28" i="2"/>
  <c r="D29" i="2" a="1"/>
  <c r="D29" i="2" s="1"/>
  <c r="D30" i="2" a="1"/>
  <c r="D30" i="2"/>
  <c r="D31" i="2" a="1"/>
  <c r="D31" i="2" s="1"/>
  <c r="D32" i="2" a="1"/>
  <c r="D32" i="2"/>
  <c r="D33" i="2" a="1"/>
  <c r="D33" i="2" s="1"/>
  <c r="D34" i="2" a="1"/>
  <c r="D34" i="2"/>
  <c r="D35" i="2" a="1"/>
  <c r="D35" i="2" s="1"/>
  <c r="D36" i="2" a="1"/>
  <c r="D36" i="2"/>
  <c r="D37" i="2" a="1"/>
  <c r="D37" i="2" s="1"/>
  <c r="D38" i="2" a="1"/>
  <c r="D38" i="2"/>
  <c r="D39" i="2" a="1"/>
  <c r="D39" i="2" s="1"/>
  <c r="D40" i="2" a="1"/>
  <c r="D40" i="2"/>
  <c r="D41" i="2" a="1"/>
  <c r="D41" i="2" s="1"/>
  <c r="D42" i="2" a="1"/>
  <c r="D42" i="2"/>
  <c r="D43" i="2" a="1"/>
  <c r="D43" i="2" s="1"/>
  <c r="D44" i="2" a="1"/>
  <c r="D44" i="2"/>
  <c r="D45" i="2" a="1"/>
  <c r="D45" i="2" s="1"/>
  <c r="D46" i="2" a="1"/>
  <c r="D46" i="2"/>
  <c r="D47" i="2" a="1"/>
  <c r="D47" i="2" s="1"/>
  <c r="D48" i="2" a="1"/>
  <c r="D48" i="2"/>
  <c r="D49" i="2" a="1"/>
  <c r="D49" i="2" s="1"/>
  <c r="D50" i="2" a="1"/>
  <c r="D50" i="2"/>
  <c r="D51" i="2" a="1"/>
  <c r="D51" i="2" s="1"/>
  <c r="D52" i="2" a="1"/>
  <c r="D52" i="2"/>
  <c r="D53" i="2" a="1"/>
  <c r="D53" i="2" s="1"/>
  <c r="D54" i="2" a="1"/>
  <c r="D54" i="2"/>
  <c r="D55" i="2" a="1"/>
  <c r="D55" i="2" s="1"/>
  <c r="D56" i="2" a="1"/>
  <c r="D56" i="2"/>
  <c r="D57" i="2" a="1"/>
  <c r="D57" i="2" s="1"/>
  <c r="D58" i="2" a="1"/>
  <c r="D58" i="2"/>
  <c r="D59" i="2" a="1"/>
  <c r="D59" i="2" s="1"/>
  <c r="D60" i="2" a="1"/>
  <c r="D60" i="2"/>
  <c r="D61" i="2" a="1"/>
  <c r="D61" i="2" s="1"/>
  <c r="D62" i="2" a="1"/>
  <c r="D62" i="2"/>
  <c r="D63" i="2" a="1"/>
  <c r="D63" i="2" s="1"/>
  <c r="D64" i="2" a="1"/>
  <c r="D64" i="2"/>
  <c r="D65" i="2" a="1"/>
  <c r="D65" i="2" s="1"/>
  <c r="D66" i="2" a="1"/>
  <c r="D66" i="2"/>
  <c r="D67" i="2" a="1"/>
  <c r="D67" i="2" s="1"/>
  <c r="D68" i="2" a="1"/>
  <c r="D68" i="2"/>
  <c r="D69" i="2" a="1"/>
  <c r="D69" i="2" s="1"/>
  <c r="D70" i="2" a="1"/>
  <c r="D70" i="2"/>
  <c r="D71" i="2" a="1"/>
  <c r="D71" i="2" s="1"/>
  <c r="D72" i="2" a="1"/>
  <c r="D72" i="2"/>
  <c r="D73" i="2" a="1"/>
  <c r="D73" i="2" s="1"/>
  <c r="D74" i="2" a="1"/>
  <c r="D74" i="2"/>
  <c r="D75" i="2" a="1"/>
  <c r="D75" i="2" s="1"/>
  <c r="D76" i="2" a="1"/>
  <c r="D76" i="2"/>
  <c r="D77" i="2" a="1"/>
  <c r="D77" i="2" s="1"/>
  <c r="D78" i="2" a="1"/>
  <c r="D78" i="2"/>
  <c r="D79" i="2" a="1"/>
  <c r="D79" i="2" s="1"/>
  <c r="D80" i="2" a="1"/>
  <c r="D80" i="2"/>
  <c r="D81" i="2" a="1"/>
  <c r="D81" i="2" s="1"/>
  <c r="D82" i="2" a="1"/>
  <c r="D82" i="2"/>
  <c r="D83" i="2" a="1"/>
  <c r="D83" i="2" s="1"/>
  <c r="D2" i="2" a="1"/>
  <c r="D2" i="2" s="1"/>
  <c r="B2" i="2" a="1"/>
  <c r="B2" i="2" s="1"/>
  <c r="B6" i="2" a="1"/>
  <c r="B6" i="2"/>
  <c r="B7" i="2" a="1"/>
  <c r="B7" i="2" s="1"/>
  <c r="B8" i="2" a="1"/>
  <c r="B8" i="2"/>
  <c r="B9" i="2" a="1"/>
  <c r="B9" i="2" s="1"/>
  <c r="B10" i="2" a="1"/>
  <c r="B10" i="2"/>
  <c r="B11" i="2" a="1"/>
  <c r="B11" i="2" s="1"/>
  <c r="B12" i="2" a="1"/>
  <c r="B12" i="2"/>
  <c r="B13" i="2" a="1"/>
  <c r="B13" i="2" s="1"/>
  <c r="B14" i="2" a="1"/>
  <c r="B14" i="2"/>
  <c r="B15" i="2" a="1"/>
  <c r="B15" i="2" s="1"/>
  <c r="B16" i="2" a="1"/>
  <c r="B16" i="2"/>
  <c r="B17" i="2" a="1"/>
  <c r="B17" i="2" s="1"/>
  <c r="B18" i="2" a="1"/>
  <c r="B18" i="2"/>
  <c r="B19" i="2" a="1"/>
  <c r="B19" i="2" s="1"/>
  <c r="B20" i="2" a="1"/>
  <c r="B20" i="2"/>
  <c r="B21" i="2" a="1"/>
  <c r="B21" i="2" s="1"/>
  <c r="B22" i="2" a="1"/>
  <c r="B22" i="2"/>
  <c r="B23" i="2" a="1"/>
  <c r="B23" i="2" s="1"/>
  <c r="B24" i="2" a="1"/>
  <c r="B24" i="2"/>
  <c r="B25" i="2" a="1"/>
  <c r="B25" i="2" s="1"/>
  <c r="B26" i="2" a="1"/>
  <c r="B26" i="2"/>
  <c r="B27" i="2" a="1"/>
  <c r="B27" i="2" s="1"/>
  <c r="B28" i="2" a="1"/>
  <c r="B28" i="2"/>
  <c r="B29" i="2" a="1"/>
  <c r="B29" i="2" s="1"/>
  <c r="B30" i="2" a="1"/>
  <c r="B30" i="2"/>
  <c r="B31" i="2" a="1"/>
  <c r="B31" i="2" s="1"/>
  <c r="B32" i="2" a="1"/>
  <c r="B32" i="2"/>
  <c r="B33" i="2" a="1"/>
  <c r="B33" i="2" s="1"/>
  <c r="B34" i="2" a="1"/>
  <c r="B34" i="2"/>
  <c r="B35" i="2" a="1"/>
  <c r="B35" i="2" s="1"/>
  <c r="B36" i="2" a="1"/>
  <c r="B36" i="2"/>
  <c r="B37" i="2" a="1"/>
  <c r="B37" i="2" s="1"/>
  <c r="B38" i="2" a="1"/>
  <c r="B38" i="2"/>
  <c r="B39" i="2" a="1"/>
  <c r="B39" i="2" s="1"/>
  <c r="B40" i="2" a="1"/>
  <c r="B40" i="2"/>
  <c r="B41" i="2" a="1"/>
  <c r="B41" i="2" s="1"/>
  <c r="B42" i="2" a="1"/>
  <c r="B42" i="2"/>
  <c r="B43" i="2" a="1"/>
  <c r="B43" i="2" s="1"/>
  <c r="B44" i="2" a="1"/>
  <c r="B44" i="2"/>
  <c r="B45" i="2" a="1"/>
  <c r="B45" i="2" s="1"/>
  <c r="B46" i="2" a="1"/>
  <c r="B46" i="2"/>
  <c r="B47" i="2" a="1"/>
  <c r="B47" i="2" s="1"/>
  <c r="B48" i="2" a="1"/>
  <c r="B48" i="2"/>
  <c r="B49" i="2" a="1"/>
  <c r="B49" i="2" s="1"/>
  <c r="B50" i="2" a="1"/>
  <c r="B50" i="2"/>
  <c r="B51" i="2" a="1"/>
  <c r="B51" i="2" s="1"/>
  <c r="B52" i="2" a="1"/>
  <c r="B52" i="2"/>
  <c r="B53" i="2" a="1"/>
  <c r="B53" i="2" s="1"/>
  <c r="B54" i="2" a="1"/>
  <c r="B54" i="2"/>
  <c r="B55" i="2" a="1"/>
  <c r="B55" i="2" s="1"/>
  <c r="B56" i="2" a="1"/>
  <c r="B56" i="2"/>
  <c r="B57" i="2" a="1"/>
  <c r="B57" i="2" s="1"/>
  <c r="B58" i="2" a="1"/>
  <c r="B58" i="2"/>
  <c r="B59" i="2" a="1"/>
  <c r="B59" i="2" s="1"/>
  <c r="B60" i="2" a="1"/>
  <c r="B60" i="2"/>
  <c r="B61" i="2" a="1"/>
  <c r="B61" i="2" s="1"/>
  <c r="B62" i="2" a="1"/>
  <c r="B62" i="2"/>
  <c r="B63" i="2" a="1"/>
  <c r="B63" i="2" s="1"/>
  <c r="B64" i="2" a="1"/>
  <c r="B64" i="2"/>
  <c r="B65" i="2" a="1"/>
  <c r="B65" i="2" s="1"/>
  <c r="B66" i="2" a="1"/>
  <c r="B66" i="2"/>
  <c r="B67" i="2" a="1"/>
  <c r="B67" i="2" s="1"/>
  <c r="B68" i="2" a="1"/>
  <c r="B68" i="2"/>
  <c r="B69" i="2" a="1"/>
  <c r="B69" i="2" s="1"/>
  <c r="B70" i="2" a="1"/>
  <c r="B70" i="2"/>
  <c r="B71" i="2" a="1"/>
  <c r="B71" i="2" s="1"/>
  <c r="B72" i="2" a="1"/>
  <c r="B72" i="2"/>
  <c r="B73" i="2" a="1"/>
  <c r="B73" i="2" s="1"/>
  <c r="B74" i="2" a="1"/>
  <c r="B74" i="2"/>
  <c r="B75" i="2" a="1"/>
  <c r="B75" i="2" s="1"/>
  <c r="B76" i="2" a="1"/>
  <c r="B76" i="2"/>
  <c r="B77" i="2" a="1"/>
  <c r="B77" i="2" s="1"/>
  <c r="B78" i="2" a="1"/>
  <c r="B78" i="2"/>
  <c r="B79" i="2" a="1"/>
  <c r="B79" i="2" s="1"/>
  <c r="B80" i="2" a="1"/>
  <c r="B80" i="2"/>
  <c r="B81" i="2" a="1"/>
  <c r="B81" i="2" s="1"/>
  <c r="B82" i="2" a="1"/>
  <c r="B82" i="2"/>
  <c r="B83" i="2" a="1"/>
  <c r="B83" i="2" s="1"/>
  <c r="B5" i="2" a="1"/>
  <c r="B5" i="2" s="1"/>
  <c r="B4" i="2" a="1"/>
  <c r="B4" i="2" s="1"/>
  <c r="B3" i="2" a="1"/>
  <c r="B3" i="2" s="1"/>
  <c r="A3" i="2" a="1"/>
  <c r="A3" i="2" s="1"/>
  <c r="A4" i="2" a="1"/>
  <c r="A4" i="2"/>
  <c r="A5" i="2" a="1"/>
  <c r="A5" i="2" s="1"/>
  <c r="A6" i="2" a="1"/>
  <c r="A6" i="2"/>
  <c r="A7" i="2" a="1"/>
  <c r="A7" i="2" s="1"/>
  <c r="A8" i="2" a="1"/>
  <c r="A8" i="2"/>
  <c r="A9" i="2" a="1"/>
  <c r="A9" i="2" s="1"/>
  <c r="A10" i="2" a="1"/>
  <c r="A10" i="2"/>
  <c r="A11" i="2" a="1"/>
  <c r="A11" i="2" s="1"/>
  <c r="A12" i="2" a="1"/>
  <c r="A12" i="2"/>
  <c r="A13" i="2" a="1"/>
  <c r="A13" i="2" s="1"/>
  <c r="A14" i="2" a="1"/>
  <c r="A14" i="2"/>
  <c r="A15" i="2" a="1"/>
  <c r="A15" i="2" s="1"/>
  <c r="A16" i="2" a="1"/>
  <c r="A16" i="2"/>
  <c r="A17" i="2" a="1"/>
  <c r="A17" i="2" s="1"/>
  <c r="A18" i="2" a="1"/>
  <c r="A18" i="2"/>
  <c r="A19" i="2" a="1"/>
  <c r="A19" i="2" s="1"/>
  <c r="A20" i="2" a="1"/>
  <c r="A20" i="2"/>
  <c r="A21" i="2" a="1"/>
  <c r="A21" i="2" s="1"/>
  <c r="A22" i="2" a="1"/>
  <c r="A22" i="2"/>
  <c r="A23" i="2" a="1"/>
  <c r="A23" i="2" s="1"/>
  <c r="A24" i="2" a="1"/>
  <c r="A24" i="2"/>
  <c r="A25" i="2" a="1"/>
  <c r="A25" i="2" s="1"/>
  <c r="A26" i="2" a="1"/>
  <c r="A26" i="2"/>
  <c r="A27" i="2" a="1"/>
  <c r="A27" i="2" s="1"/>
  <c r="A28" i="2" a="1"/>
  <c r="A28" i="2"/>
  <c r="A29" i="2" a="1"/>
  <c r="A29" i="2" s="1"/>
  <c r="A30" i="2" a="1"/>
  <c r="A30" i="2"/>
  <c r="A31" i="2" a="1"/>
  <c r="A31" i="2" s="1"/>
  <c r="A32" i="2" a="1"/>
  <c r="A32" i="2"/>
  <c r="A33" i="2" a="1"/>
  <c r="A33" i="2" s="1"/>
  <c r="A34" i="2" a="1"/>
  <c r="A34" i="2"/>
  <c r="A35" i="2" a="1"/>
  <c r="A35" i="2" s="1"/>
  <c r="A36" i="2" a="1"/>
  <c r="A36" i="2"/>
  <c r="A37" i="2" a="1"/>
  <c r="A37" i="2" s="1"/>
  <c r="A38" i="2" a="1"/>
  <c r="A38" i="2"/>
  <c r="A39" i="2" a="1"/>
  <c r="A39" i="2" s="1"/>
  <c r="A40" i="2" a="1"/>
  <c r="A40" i="2"/>
  <c r="A41" i="2" a="1"/>
  <c r="A41" i="2" s="1"/>
  <c r="A42" i="2" a="1"/>
  <c r="A42" i="2"/>
  <c r="A43" i="2" a="1"/>
  <c r="A43" i="2" s="1"/>
  <c r="A44" i="2" a="1"/>
  <c r="A44" i="2"/>
  <c r="A45" i="2" a="1"/>
  <c r="A45" i="2" s="1"/>
  <c r="A46" i="2" a="1"/>
  <c r="A46" i="2"/>
  <c r="A47" i="2" a="1"/>
  <c r="A47" i="2" s="1"/>
  <c r="A48" i="2" a="1"/>
  <c r="A48" i="2"/>
  <c r="A49" i="2" a="1"/>
  <c r="A49" i="2" s="1"/>
  <c r="A50" i="2" a="1"/>
  <c r="A50" i="2"/>
  <c r="A51" i="2" a="1"/>
  <c r="A51" i="2" s="1"/>
  <c r="A52" i="2" a="1"/>
  <c r="A52" i="2"/>
  <c r="A53" i="2" a="1"/>
  <c r="A53" i="2" s="1"/>
  <c r="A54" i="2" a="1"/>
  <c r="A54" i="2"/>
  <c r="A55" i="2" a="1"/>
  <c r="A55" i="2" s="1"/>
  <c r="A56" i="2" a="1"/>
  <c r="A56" i="2"/>
  <c r="A57" i="2" a="1"/>
  <c r="A57" i="2" s="1"/>
  <c r="A58" i="2" a="1"/>
  <c r="A58" i="2"/>
  <c r="A59" i="2" a="1"/>
  <c r="A59" i="2" s="1"/>
  <c r="A60" i="2" a="1"/>
  <c r="A60" i="2"/>
  <c r="A61" i="2" a="1"/>
  <c r="A61" i="2" s="1"/>
  <c r="A62" i="2" a="1"/>
  <c r="A62" i="2"/>
  <c r="A63" i="2" a="1"/>
  <c r="A63" i="2" s="1"/>
  <c r="A64" i="2" a="1"/>
  <c r="A64" i="2"/>
  <c r="A65" i="2" a="1"/>
  <c r="A65" i="2" s="1"/>
  <c r="A66" i="2" a="1"/>
  <c r="A66" i="2"/>
  <c r="A67" i="2" a="1"/>
  <c r="A67" i="2" s="1"/>
  <c r="A68" i="2" a="1"/>
  <c r="A68" i="2"/>
  <c r="A69" i="2" a="1"/>
  <c r="A69" i="2" s="1"/>
  <c r="A70" i="2" a="1"/>
  <c r="A70" i="2"/>
  <c r="A71" i="2" a="1"/>
  <c r="A71" i="2" s="1"/>
  <c r="A72" i="2" a="1"/>
  <c r="A72" i="2"/>
  <c r="A73" i="2" a="1"/>
  <c r="A73" i="2" s="1"/>
  <c r="A74" i="2" a="1"/>
  <c r="A74" i="2"/>
  <c r="A75" i="2" a="1"/>
  <c r="A75" i="2" s="1"/>
  <c r="A76" i="2" a="1"/>
  <c r="A76" i="2"/>
  <c r="A77" i="2" a="1"/>
  <c r="A77" i="2" s="1"/>
  <c r="A78" i="2" a="1"/>
  <c r="A78" i="2"/>
  <c r="A79" i="2" a="1"/>
  <c r="A79" i="2" s="1"/>
  <c r="A80" i="2" a="1"/>
  <c r="A80" i="2"/>
  <c r="A81" i="2" a="1"/>
  <c r="A81" i="2" s="1"/>
  <c r="A82" i="2" a="1"/>
  <c r="A82" i="2"/>
  <c r="A83" i="2" a="1"/>
  <c r="A8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<sst xmlns="http://schemas.openxmlformats.org/spreadsheetml/2006/main" count="2629" uniqueCount="129">
  <si>
    <t>1. Age</t>
  </si>
  <si>
    <t>2. Gender</t>
  </si>
  <si>
    <t>3. Local Government Area &amp; State (i.e Ketu Lagos)</t>
  </si>
  <si>
    <t>4. How often do you bathe or shower per day?</t>
  </si>
  <si>
    <t>7. Do you sweat excessively even when not active?</t>
  </si>
  <si>
    <t>8. Are you aware of any medical condition that may cause body odor (e.g., diabetes, thyroid disorder)?</t>
  </si>
  <si>
    <t>9. Do you have close relatives with persistent body odor?</t>
  </si>
  <si>
    <t>10. Have you ever been told you have body odor?</t>
  </si>
  <si>
    <t>11. If yes, how did it affect you emotionally?</t>
  </si>
  <si>
    <t>12. Has body odor ever affected your social life or self-confidence?</t>
  </si>
  <si>
    <t>13. Do you think body odor can cause social discrimination or stigmatization?</t>
  </si>
  <si>
    <t>15. Rate the effectiveness of your chosen remedies.</t>
  </si>
  <si>
    <t>16. Do you believe some people naturally have stronger body odor due to their body chemistry or genetics?</t>
  </si>
  <si>
    <t>17. Do you think body odor should be treated as a medical issue in some cases</t>
  </si>
  <si>
    <t>25-34 years</t>
  </si>
  <si>
    <t>Male</t>
  </si>
  <si>
    <t xml:space="preserve">Alimosho </t>
  </si>
  <si>
    <t>Twice</t>
  </si>
  <si>
    <t>No</t>
  </si>
  <si>
    <t>Not sure</t>
  </si>
  <si>
    <t>Not affected</t>
  </si>
  <si>
    <t>Agree</t>
  </si>
  <si>
    <t>Very effective</t>
  </si>
  <si>
    <t>Yes</t>
  </si>
  <si>
    <t xml:space="preserve">Surulere </t>
  </si>
  <si>
    <t>Deodorant/Antiperspirant</t>
  </si>
  <si>
    <t>Somewhat uncomfortable</t>
  </si>
  <si>
    <t>18-24 years</t>
  </si>
  <si>
    <t>Ifako Ijaiye</t>
  </si>
  <si>
    <t>Female</t>
  </si>
  <si>
    <t xml:space="preserve">Shomolu </t>
  </si>
  <si>
    <t>Eti-Osa</t>
  </si>
  <si>
    <t>Strongly agree</t>
  </si>
  <si>
    <t xml:space="preserve">Kosofe </t>
  </si>
  <si>
    <t>Severely embarrassed</t>
  </si>
  <si>
    <t>Alimosho</t>
  </si>
  <si>
    <t>Oshodi Isolo</t>
  </si>
  <si>
    <t>Ikorodu west</t>
  </si>
  <si>
    <t xml:space="preserve">Oshodi Isolo </t>
  </si>
  <si>
    <t>More than twice</t>
  </si>
  <si>
    <t>Neutral</t>
  </si>
  <si>
    <t>Ikorodu</t>
  </si>
  <si>
    <t>None</t>
  </si>
  <si>
    <t>35-44 years</t>
  </si>
  <si>
    <t>Badagry</t>
  </si>
  <si>
    <t xml:space="preserve">Badagry </t>
  </si>
  <si>
    <t>Onions/Garlic</t>
  </si>
  <si>
    <t>Somewhat effective</t>
  </si>
  <si>
    <t>Somolu</t>
  </si>
  <si>
    <t>Indifferent</t>
  </si>
  <si>
    <t xml:space="preserve">Mushin </t>
  </si>
  <si>
    <t>Kosofe</t>
  </si>
  <si>
    <t>Ibeju Lekki</t>
  </si>
  <si>
    <t>Ikosi Isheri</t>
  </si>
  <si>
    <t>Disagree</t>
  </si>
  <si>
    <t>Not effective</t>
  </si>
  <si>
    <t xml:space="preserve">Alimoshi </t>
  </si>
  <si>
    <t>Mushin</t>
  </si>
  <si>
    <t xml:space="preserve">Southwest </t>
  </si>
  <si>
    <t xml:space="preserve">Lagos Island </t>
  </si>
  <si>
    <t>Ojo</t>
  </si>
  <si>
    <t>Once</t>
  </si>
  <si>
    <t>Shomolu</t>
  </si>
  <si>
    <t xml:space="preserve">Ikorodu </t>
  </si>
  <si>
    <t xml:space="preserve">Akoka </t>
  </si>
  <si>
    <t>Apapa</t>
  </si>
  <si>
    <t>Ajah</t>
  </si>
  <si>
    <t>Ukwa West</t>
  </si>
  <si>
    <t>Ketu</t>
  </si>
  <si>
    <t xml:space="preserve">Lagos </t>
  </si>
  <si>
    <t>Ibadan</t>
  </si>
  <si>
    <t>Surulere</t>
  </si>
  <si>
    <t xml:space="preserve">Ikorodu Lagos </t>
  </si>
  <si>
    <t>Ikeja</t>
  </si>
  <si>
    <t>55-64 years</t>
  </si>
  <si>
    <t>Bariga</t>
  </si>
  <si>
    <t>Benue State</t>
  </si>
  <si>
    <t>Owode Onirin</t>
  </si>
  <si>
    <t xml:space="preserve">Ajeromi </t>
  </si>
  <si>
    <t>45-54 years</t>
  </si>
  <si>
    <t>Ojodu</t>
  </si>
  <si>
    <t>Lekki</t>
  </si>
  <si>
    <t>Aguda</t>
  </si>
  <si>
    <t>Ebute Metta</t>
  </si>
  <si>
    <t>Antibacterial Soap</t>
  </si>
  <si>
    <t>Talcum Powder</t>
  </si>
  <si>
    <t>Herbal Remedies</t>
  </si>
  <si>
    <t>Spicy Foods</t>
  </si>
  <si>
    <t>Red Meat</t>
  </si>
  <si>
    <t>Processed Foods</t>
  </si>
  <si>
    <t>Diary</t>
  </si>
  <si>
    <t>Frequent Bathing</t>
  </si>
  <si>
    <t>Medical Consultation</t>
  </si>
  <si>
    <t>Herbal/Traditional Medicine</t>
  </si>
  <si>
    <t>Use of Perfumes or Deodorants</t>
  </si>
  <si>
    <t>Diet Change/Control</t>
  </si>
  <si>
    <t>Selected</t>
  </si>
  <si>
    <t>Not Selected</t>
  </si>
  <si>
    <t>Not Affected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</si>
  <si>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</si>
  <si>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Age</t>
  </si>
  <si>
    <t>Gender</t>
  </si>
  <si>
    <t>Q4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</si>
  <si>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</si>
  <si>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</si>
  <si>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</si>
  <si>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</si>
  <si>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</si>
  <si>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</si>
  <si>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</si>
  <si>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</si>
  <si>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</si>
  <si>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</si>
  <si>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Q7</t>
  </si>
  <si>
    <t>Q8</t>
  </si>
  <si>
    <t>Q9</t>
  </si>
  <si>
    <t>Q10</t>
  </si>
  <si>
    <t>Q11</t>
  </si>
  <si>
    <t>Q12</t>
  </si>
  <si>
    <t>Q13</t>
  </si>
  <si>
    <t>Q15</t>
  </si>
  <si>
    <t>Q14_1</t>
  </si>
  <si>
    <t>Q14_2</t>
  </si>
  <si>
    <t>Q14_3</t>
  </si>
  <si>
    <t>Q14_4</t>
  </si>
  <si>
    <t>Q14_5</t>
  </si>
  <si>
    <t>Q16</t>
  </si>
  <si>
    <t>Q17</t>
  </si>
  <si>
    <t>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</si>
</sst>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5B3F86"/>
      </left>
      <right/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88"/>
  <sheetViews>
    <sheetView tabSelected="1" workbookViewId="0">
      <pane ySplit="1" topLeftCell="A40" activePane="bottomLeft" state="frozen"/>
      <selection pane="bottomLeft" activeCell="C2" sqref="C2:C83"/>
    </sheetView>
  </sheetViews>
  <sheetFormatPr defaultColWidth="12.5703125" defaultRowHeight="15.75" customHeight="1" x14ac:dyDescent="0.2"/>
  <cols>
    <col min="1" max="2" width="18.85546875" customWidth="1"/>
    <col min="3" max="3" width="18.42578125" customWidth="1"/>
    <col min="4" max="4" width="37.5703125" customWidth="1"/>
    <col min="5" max="5" width="22.42578125" customWidth="1"/>
    <col min="6" max="6" width="24.28515625" customWidth="1"/>
    <col min="7" max="7" width="16.42578125" customWidth="1"/>
    <col min="8" max="8" width="18.28515625" customWidth="1"/>
    <col min="9" max="9" width="16.42578125" customWidth="1"/>
    <col min="10" max="11" width="17.7109375" customWidth="1"/>
    <col min="12" max="12" width="17.85546875" customWidth="1"/>
    <col min="13" max="13" width="23.5703125" customWidth="1"/>
    <col min="14" max="14" width="19.7109375" customWidth="1"/>
    <col min="15" max="18" width="37.5703125" customWidth="1"/>
    <col min="19" max="19" width="36.85546875" customWidth="1"/>
    <col min="20" max="20" width="37.5703125" customWidth="1"/>
    <col min="21" max="21" width="27.7109375" customWidth="1"/>
    <col min="22" max="26" width="22" customWidth="1"/>
    <col min="27" max="28" width="37.5703125" customWidth="1"/>
    <col min="29" max="29" width="69.5703125" customWidth="1"/>
    <col min="30" max="35" width="18.85546875" customWidth="1"/>
  </cols>
  <sheetData>
    <row r="1" spans="1:29" s="3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25</v>
      </c>
      <c r="G1" s="1" t="s">
        <v>85</v>
      </c>
      <c r="H1" s="1" t="s">
        <v>86</v>
      </c>
      <c r="I1" s="1" t="s">
        <v>42</v>
      </c>
      <c r="J1" s="1" t="s">
        <v>87</v>
      </c>
      <c r="K1" s="1" t="s">
        <v>46</v>
      </c>
      <c r="L1" s="1" t="s">
        <v>88</v>
      </c>
      <c r="M1" s="1" t="s">
        <v>89</v>
      </c>
      <c r="N1" s="1" t="s">
        <v>90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91</v>
      </c>
      <c r="W1" s="1" t="s">
        <v>95</v>
      </c>
      <c r="X1" s="1" t="s">
        <v>92</v>
      </c>
      <c r="Y1" s="1" t="s">
        <v>93</v>
      </c>
      <c r="Z1" s="1" t="s">
        <v>94</v>
      </c>
      <c r="AA1" s="1" t="s">
        <v>11</v>
      </c>
      <c r="AB1" s="1" t="s">
        <v>12</v>
      </c>
      <c r="AC1" s="2" t="s">
        <v>13</v>
      </c>
    </row>
    <row r="2" spans="1:29" ht="12.75" x14ac:dyDescent="0.2">
      <c r="A2" t="s">
        <v>14</v>
      </c>
      <c r="B2" t="s">
        <v>15</v>
      </c>
      <c r="C2" t="s">
        <v>16</v>
      </c>
      <c r="D2" t="s">
        <v>17</v>
      </c>
      <c r="E2" t="s">
        <v>96</v>
      </c>
      <c r="F2" t="s">
        <v>96</v>
      </c>
      <c r="G2" t="s">
        <v>97</v>
      </c>
      <c r="H2" t="s">
        <v>97</v>
      </c>
      <c r="I2" t="s">
        <v>97</v>
      </c>
      <c r="J2" t="s">
        <v>96</v>
      </c>
      <c r="K2" t="s">
        <v>97</v>
      </c>
      <c r="L2" t="s">
        <v>96</v>
      </c>
      <c r="M2" t="s">
        <v>97</v>
      </c>
      <c r="N2" t="s">
        <v>97</v>
      </c>
      <c r="O2" t="s">
        <v>18</v>
      </c>
      <c r="P2" t="s">
        <v>19</v>
      </c>
      <c r="Q2" t="s">
        <v>18</v>
      </c>
      <c r="R2" t="s">
        <v>18</v>
      </c>
      <c r="S2" t="s">
        <v>20</v>
      </c>
      <c r="T2" t="s">
        <v>18</v>
      </c>
      <c r="U2" t="s">
        <v>21</v>
      </c>
      <c r="V2" t="s">
        <v>96</v>
      </c>
      <c r="W2" t="s">
        <v>97</v>
      </c>
      <c r="X2" t="s">
        <v>97</v>
      </c>
      <c r="Y2" t="s">
        <v>97</v>
      </c>
      <c r="Z2" t="s">
        <v>96</v>
      </c>
      <c r="AA2" t="s">
        <v>22</v>
      </c>
      <c r="AB2" t="s">
        <v>23</v>
      </c>
      <c r="AC2" t="s">
        <v>23</v>
      </c>
    </row>
    <row r="3" spans="1:29" ht="12.75" x14ac:dyDescent="0.2">
      <c r="A3" t="s">
        <v>14</v>
      </c>
      <c r="B3" t="s">
        <v>15</v>
      </c>
      <c r="C3" t="s">
        <v>24</v>
      </c>
      <c r="D3" t="s">
        <v>17</v>
      </c>
      <c r="E3" t="s">
        <v>97</v>
      </c>
      <c r="F3" t="s">
        <v>96</v>
      </c>
      <c r="G3" t="s">
        <v>97</v>
      </c>
      <c r="H3" t="s">
        <v>97</v>
      </c>
      <c r="I3" t="s">
        <v>97</v>
      </c>
      <c r="J3" t="s">
        <v>96</v>
      </c>
      <c r="K3" t="s">
        <v>97</v>
      </c>
      <c r="L3" t="s">
        <v>97</v>
      </c>
      <c r="M3" t="s">
        <v>97</v>
      </c>
      <c r="N3" t="s">
        <v>97</v>
      </c>
      <c r="O3" t="s">
        <v>18</v>
      </c>
      <c r="P3" t="s">
        <v>18</v>
      </c>
      <c r="Q3" t="s">
        <v>18</v>
      </c>
      <c r="R3" t="s">
        <v>18</v>
      </c>
      <c r="S3" t="s">
        <v>98</v>
      </c>
      <c r="T3" t="s">
        <v>18</v>
      </c>
      <c r="U3" t="s">
        <v>21</v>
      </c>
      <c r="V3" t="s">
        <v>97</v>
      </c>
      <c r="W3" t="s">
        <v>97</v>
      </c>
      <c r="X3" t="s">
        <v>97</v>
      </c>
      <c r="Y3" t="s">
        <v>97</v>
      </c>
      <c r="Z3" t="s">
        <v>96</v>
      </c>
      <c r="AA3" t="s">
        <v>22</v>
      </c>
      <c r="AB3" t="s">
        <v>23</v>
      </c>
      <c r="AC3" t="s">
        <v>23</v>
      </c>
    </row>
    <row r="4" spans="1:29" ht="12.75" x14ac:dyDescent="0.2">
      <c r="A4" t="s">
        <v>27</v>
      </c>
      <c r="B4" t="s">
        <v>15</v>
      </c>
      <c r="C4" t="s">
        <v>28</v>
      </c>
      <c r="D4" t="s">
        <v>17</v>
      </c>
      <c r="E4" t="s">
        <v>96</v>
      </c>
      <c r="F4" t="s">
        <v>96</v>
      </c>
      <c r="G4" t="s">
        <v>97</v>
      </c>
      <c r="H4" t="s">
        <v>97</v>
      </c>
      <c r="I4" t="s">
        <v>97</v>
      </c>
      <c r="J4" t="s">
        <v>96</v>
      </c>
      <c r="K4" t="s">
        <v>96</v>
      </c>
      <c r="L4" t="s">
        <v>97</v>
      </c>
      <c r="M4" t="s">
        <v>96</v>
      </c>
      <c r="N4" t="s">
        <v>97</v>
      </c>
      <c r="O4" t="s">
        <v>18</v>
      </c>
      <c r="P4" t="s">
        <v>18</v>
      </c>
      <c r="Q4" t="s">
        <v>18</v>
      </c>
      <c r="R4" t="s">
        <v>18</v>
      </c>
      <c r="S4" t="s">
        <v>20</v>
      </c>
      <c r="T4" t="s">
        <v>18</v>
      </c>
      <c r="U4" t="s">
        <v>21</v>
      </c>
      <c r="V4" t="s">
        <v>97</v>
      </c>
      <c r="W4" t="s">
        <v>97</v>
      </c>
      <c r="X4" t="s">
        <v>97</v>
      </c>
      <c r="Y4" t="s">
        <v>97</v>
      </c>
      <c r="Z4" t="s">
        <v>96</v>
      </c>
      <c r="AA4" t="s">
        <v>22</v>
      </c>
      <c r="AB4" t="s">
        <v>19</v>
      </c>
      <c r="AC4" t="s">
        <v>23</v>
      </c>
    </row>
    <row r="5" spans="1:29" ht="12.75" x14ac:dyDescent="0.2">
      <c r="A5" t="s">
        <v>14</v>
      </c>
      <c r="B5" t="s">
        <v>29</v>
      </c>
      <c r="C5" t="s">
        <v>30</v>
      </c>
      <c r="D5" t="s">
        <v>17</v>
      </c>
      <c r="E5" t="s">
        <v>97</v>
      </c>
      <c r="F5" t="s">
        <v>96</v>
      </c>
      <c r="G5" t="s">
        <v>97</v>
      </c>
      <c r="H5" t="s">
        <v>97</v>
      </c>
      <c r="I5" t="s">
        <v>97</v>
      </c>
      <c r="J5" t="s">
        <v>97</v>
      </c>
      <c r="K5" t="s">
        <v>96</v>
      </c>
      <c r="L5" t="s">
        <v>96</v>
      </c>
      <c r="M5" t="s">
        <v>96</v>
      </c>
      <c r="N5" t="s">
        <v>97</v>
      </c>
      <c r="O5" t="s">
        <v>18</v>
      </c>
      <c r="P5" t="s">
        <v>18</v>
      </c>
      <c r="Q5" t="s">
        <v>18</v>
      </c>
      <c r="R5" t="s">
        <v>18</v>
      </c>
      <c r="S5" t="s">
        <v>20</v>
      </c>
      <c r="T5" t="s">
        <v>18</v>
      </c>
      <c r="U5" t="s">
        <v>21</v>
      </c>
      <c r="V5" t="s">
        <v>97</v>
      </c>
      <c r="W5" t="s">
        <v>97</v>
      </c>
      <c r="X5" t="s">
        <v>97</v>
      </c>
      <c r="Y5" t="s">
        <v>97</v>
      </c>
      <c r="Z5" t="s">
        <v>96</v>
      </c>
      <c r="AA5" t="s">
        <v>22</v>
      </c>
      <c r="AB5" t="s">
        <v>23</v>
      </c>
      <c r="AC5" t="s">
        <v>23</v>
      </c>
    </row>
    <row r="6" spans="1:29" ht="12.75" x14ac:dyDescent="0.2">
      <c r="A6" t="s">
        <v>27</v>
      </c>
      <c r="B6" t="s">
        <v>29</v>
      </c>
      <c r="C6" t="s">
        <v>31</v>
      </c>
      <c r="D6" t="s">
        <v>17</v>
      </c>
      <c r="E6" t="s">
        <v>97</v>
      </c>
      <c r="F6" t="s">
        <v>96</v>
      </c>
      <c r="G6" t="s">
        <v>97</v>
      </c>
      <c r="H6" t="s">
        <v>97</v>
      </c>
      <c r="I6" t="s">
        <v>97</v>
      </c>
      <c r="J6" t="s">
        <v>96</v>
      </c>
      <c r="K6" t="s">
        <v>96</v>
      </c>
      <c r="L6" t="s">
        <v>97</v>
      </c>
      <c r="M6" t="s">
        <v>97</v>
      </c>
      <c r="N6" t="s">
        <v>97</v>
      </c>
      <c r="O6" t="s">
        <v>18</v>
      </c>
      <c r="P6" t="s">
        <v>18</v>
      </c>
      <c r="Q6" t="s">
        <v>23</v>
      </c>
      <c r="R6" t="s">
        <v>18</v>
      </c>
      <c r="S6" t="s">
        <v>20</v>
      </c>
      <c r="T6" t="s">
        <v>18</v>
      </c>
      <c r="U6" t="s">
        <v>32</v>
      </c>
      <c r="V6" t="s">
        <v>96</v>
      </c>
      <c r="W6" t="s">
        <v>97</v>
      </c>
      <c r="X6" t="s">
        <v>97</v>
      </c>
      <c r="Y6" t="s">
        <v>97</v>
      </c>
      <c r="Z6" t="s">
        <v>96</v>
      </c>
      <c r="AA6" t="s">
        <v>22</v>
      </c>
      <c r="AB6" t="s">
        <v>23</v>
      </c>
      <c r="AC6" t="s">
        <v>23</v>
      </c>
    </row>
    <row r="7" spans="1:29" ht="12.75" x14ac:dyDescent="0.2">
      <c r="A7" t="s">
        <v>14</v>
      </c>
      <c r="B7" t="s">
        <v>29</v>
      </c>
      <c r="C7" t="s">
        <v>33</v>
      </c>
      <c r="D7" t="s">
        <v>17</v>
      </c>
      <c r="E7" t="s">
        <v>97</v>
      </c>
      <c r="F7" t="s">
        <v>96</v>
      </c>
      <c r="G7" t="s">
        <v>97</v>
      </c>
      <c r="H7" t="s">
        <v>96</v>
      </c>
      <c r="I7" t="s">
        <v>97</v>
      </c>
      <c r="J7" t="s">
        <v>96</v>
      </c>
      <c r="K7" t="s">
        <v>96</v>
      </c>
      <c r="L7" t="s">
        <v>96</v>
      </c>
      <c r="M7" t="s">
        <v>96</v>
      </c>
      <c r="N7" t="s">
        <v>96</v>
      </c>
      <c r="O7" t="s">
        <v>18</v>
      </c>
      <c r="P7" t="s">
        <v>18</v>
      </c>
      <c r="Q7" t="s">
        <v>18</v>
      </c>
      <c r="R7" t="s">
        <v>23</v>
      </c>
      <c r="S7" t="s">
        <v>34</v>
      </c>
      <c r="T7" t="s">
        <v>18</v>
      </c>
      <c r="U7" t="s">
        <v>21</v>
      </c>
      <c r="V7" t="s">
        <v>96</v>
      </c>
      <c r="W7" t="s">
        <v>97</v>
      </c>
      <c r="X7" t="s">
        <v>97</v>
      </c>
      <c r="Y7" t="s">
        <v>97</v>
      </c>
      <c r="Z7" t="s">
        <v>96</v>
      </c>
      <c r="AA7" t="s">
        <v>22</v>
      </c>
      <c r="AB7" t="s">
        <v>23</v>
      </c>
      <c r="AC7" t="s">
        <v>23</v>
      </c>
    </row>
    <row r="8" spans="1:29" ht="12.75" x14ac:dyDescent="0.2">
      <c r="A8" t="s">
        <v>14</v>
      </c>
      <c r="B8" t="s">
        <v>15</v>
      </c>
      <c r="C8" t="s">
        <v>35</v>
      </c>
      <c r="D8" t="s">
        <v>17</v>
      </c>
      <c r="E8" t="s">
        <v>97</v>
      </c>
      <c r="F8" t="s">
        <v>96</v>
      </c>
      <c r="G8" t="s">
        <v>97</v>
      </c>
      <c r="H8" t="s">
        <v>97</v>
      </c>
      <c r="I8" t="s">
        <v>97</v>
      </c>
      <c r="J8" t="s">
        <v>96</v>
      </c>
      <c r="K8" t="s">
        <v>97</v>
      </c>
      <c r="L8" t="s">
        <v>97</v>
      </c>
      <c r="M8" t="s">
        <v>97</v>
      </c>
      <c r="N8" t="s">
        <v>97</v>
      </c>
      <c r="O8" t="s">
        <v>18</v>
      </c>
      <c r="P8" t="s">
        <v>23</v>
      </c>
      <c r="Q8" t="s">
        <v>18</v>
      </c>
      <c r="R8" t="s">
        <v>18</v>
      </c>
      <c r="S8" t="s">
        <v>20</v>
      </c>
      <c r="T8" t="s">
        <v>18</v>
      </c>
      <c r="U8" t="s">
        <v>21</v>
      </c>
      <c r="V8" t="s">
        <v>96</v>
      </c>
      <c r="W8" t="s">
        <v>97</v>
      </c>
      <c r="X8" t="s">
        <v>97</v>
      </c>
      <c r="Y8" t="s">
        <v>97</v>
      </c>
      <c r="Z8" t="s">
        <v>97</v>
      </c>
      <c r="AA8" t="s">
        <v>22</v>
      </c>
      <c r="AB8" t="s">
        <v>23</v>
      </c>
      <c r="AC8" t="s">
        <v>23</v>
      </c>
    </row>
    <row r="9" spans="1:29" ht="12.75" x14ac:dyDescent="0.2">
      <c r="A9" t="s">
        <v>27</v>
      </c>
      <c r="B9" t="s">
        <v>29</v>
      </c>
      <c r="C9" t="s">
        <v>36</v>
      </c>
      <c r="D9" t="s">
        <v>17</v>
      </c>
      <c r="E9" t="s">
        <v>96</v>
      </c>
      <c r="F9" t="s">
        <v>96</v>
      </c>
      <c r="G9" t="s">
        <v>97</v>
      </c>
      <c r="H9" t="s">
        <v>97</v>
      </c>
      <c r="I9" t="s">
        <v>97</v>
      </c>
      <c r="J9" t="s">
        <v>96</v>
      </c>
      <c r="K9" t="s">
        <v>97</v>
      </c>
      <c r="L9" t="s">
        <v>97</v>
      </c>
      <c r="M9" t="s">
        <v>97</v>
      </c>
      <c r="N9" t="s">
        <v>97</v>
      </c>
      <c r="O9" t="s">
        <v>18</v>
      </c>
      <c r="P9" t="s">
        <v>19</v>
      </c>
      <c r="Q9" t="s">
        <v>23</v>
      </c>
      <c r="R9" t="s">
        <v>18</v>
      </c>
      <c r="S9" t="s">
        <v>98</v>
      </c>
      <c r="T9" t="s">
        <v>18</v>
      </c>
      <c r="U9" t="s">
        <v>32</v>
      </c>
      <c r="V9" t="s">
        <v>96</v>
      </c>
      <c r="W9" t="s">
        <v>97</v>
      </c>
      <c r="X9" t="s">
        <v>97</v>
      </c>
      <c r="Y9" t="s">
        <v>97</v>
      </c>
      <c r="Z9" t="s">
        <v>96</v>
      </c>
      <c r="AA9" t="s">
        <v>22</v>
      </c>
      <c r="AB9" t="s">
        <v>23</v>
      </c>
      <c r="AC9" t="s">
        <v>23</v>
      </c>
    </row>
    <row r="10" spans="1:29" ht="12.75" x14ac:dyDescent="0.2">
      <c r="A10" t="s">
        <v>27</v>
      </c>
      <c r="B10" t="s">
        <v>29</v>
      </c>
      <c r="C10" t="s">
        <v>37</v>
      </c>
      <c r="D10" t="s">
        <v>17</v>
      </c>
      <c r="E10" t="s">
        <v>96</v>
      </c>
      <c r="F10" t="s">
        <v>96</v>
      </c>
      <c r="G10" t="s">
        <v>97</v>
      </c>
      <c r="H10" t="s">
        <v>97</v>
      </c>
      <c r="I10" t="s">
        <v>97</v>
      </c>
      <c r="J10" t="s">
        <v>96</v>
      </c>
      <c r="K10" t="s">
        <v>96</v>
      </c>
      <c r="L10" t="s">
        <v>96</v>
      </c>
      <c r="M10" t="s">
        <v>97</v>
      </c>
      <c r="N10" t="s">
        <v>97</v>
      </c>
      <c r="O10" t="s">
        <v>18</v>
      </c>
      <c r="P10" t="s">
        <v>18</v>
      </c>
      <c r="Q10" t="s">
        <v>23</v>
      </c>
      <c r="R10" t="s">
        <v>18</v>
      </c>
      <c r="S10" t="s">
        <v>20</v>
      </c>
      <c r="T10" t="s">
        <v>18</v>
      </c>
      <c r="U10" t="s">
        <v>21</v>
      </c>
      <c r="V10" t="s">
        <v>96</v>
      </c>
      <c r="W10" t="s">
        <v>97</v>
      </c>
      <c r="X10" t="s">
        <v>97</v>
      </c>
      <c r="Y10" t="s">
        <v>97</v>
      </c>
      <c r="Z10" t="s">
        <v>96</v>
      </c>
      <c r="AA10" t="s">
        <v>22</v>
      </c>
      <c r="AB10" t="s">
        <v>23</v>
      </c>
      <c r="AC10" t="s">
        <v>23</v>
      </c>
    </row>
    <row r="11" spans="1:29" ht="12.75" x14ac:dyDescent="0.2">
      <c r="A11" t="s">
        <v>14</v>
      </c>
      <c r="B11" t="s">
        <v>15</v>
      </c>
      <c r="C11" t="s">
        <v>38</v>
      </c>
      <c r="D11" t="s">
        <v>39</v>
      </c>
      <c r="E11" t="s">
        <v>97</v>
      </c>
      <c r="F11" t="s">
        <v>96</v>
      </c>
      <c r="G11" t="s">
        <v>97</v>
      </c>
      <c r="H11" t="s">
        <v>97</v>
      </c>
      <c r="I11" t="s">
        <v>97</v>
      </c>
      <c r="J11" t="s">
        <v>97</v>
      </c>
      <c r="K11" t="s">
        <v>96</v>
      </c>
      <c r="L11" t="s">
        <v>96</v>
      </c>
      <c r="M11" t="s">
        <v>96</v>
      </c>
      <c r="N11" t="s">
        <v>96</v>
      </c>
      <c r="O11" t="s">
        <v>18</v>
      </c>
      <c r="P11" t="s">
        <v>19</v>
      </c>
      <c r="Q11" t="s">
        <v>18</v>
      </c>
      <c r="R11" t="s">
        <v>18</v>
      </c>
      <c r="S11" t="s">
        <v>20</v>
      </c>
      <c r="T11" t="s">
        <v>18</v>
      </c>
      <c r="U11" t="s">
        <v>40</v>
      </c>
      <c r="V11" t="s">
        <v>96</v>
      </c>
      <c r="W11" t="s">
        <v>96</v>
      </c>
      <c r="X11" t="s">
        <v>97</v>
      </c>
      <c r="Y11" t="s">
        <v>97</v>
      </c>
      <c r="Z11" t="s">
        <v>96</v>
      </c>
      <c r="AA11" t="s">
        <v>22</v>
      </c>
      <c r="AB11" t="s">
        <v>19</v>
      </c>
      <c r="AC11" t="s">
        <v>23</v>
      </c>
    </row>
    <row r="12" spans="1:29" ht="12.75" x14ac:dyDescent="0.2">
      <c r="A12" t="s">
        <v>14</v>
      </c>
      <c r="B12" t="s">
        <v>29</v>
      </c>
      <c r="C12" t="s">
        <v>41</v>
      </c>
      <c r="D12" t="s">
        <v>17</v>
      </c>
      <c r="E12" t="s">
        <v>97</v>
      </c>
      <c r="F12" t="s">
        <v>97</v>
      </c>
      <c r="G12" t="s">
        <v>97</v>
      </c>
      <c r="H12" t="s">
        <v>97</v>
      </c>
      <c r="I12" t="s">
        <v>96</v>
      </c>
      <c r="J12" t="s">
        <v>97</v>
      </c>
      <c r="K12" t="s">
        <v>97</v>
      </c>
      <c r="L12" t="s">
        <v>97</v>
      </c>
      <c r="M12" t="s">
        <v>97</v>
      </c>
      <c r="N12" t="s">
        <v>96</v>
      </c>
      <c r="O12" t="s">
        <v>18</v>
      </c>
      <c r="P12" t="s">
        <v>23</v>
      </c>
      <c r="Q12" t="s">
        <v>23</v>
      </c>
      <c r="R12" t="s">
        <v>18</v>
      </c>
      <c r="S12" t="s">
        <v>20</v>
      </c>
      <c r="T12" t="s">
        <v>23</v>
      </c>
      <c r="U12" t="s">
        <v>32</v>
      </c>
      <c r="V12" t="s">
        <v>96</v>
      </c>
      <c r="W12" t="s">
        <v>97</v>
      </c>
      <c r="X12" t="s">
        <v>97</v>
      </c>
      <c r="Y12" t="s">
        <v>97</v>
      </c>
      <c r="Z12" t="s">
        <v>96</v>
      </c>
      <c r="AA12" t="s">
        <v>22</v>
      </c>
      <c r="AB12" t="s">
        <v>23</v>
      </c>
      <c r="AC12" t="s">
        <v>23</v>
      </c>
    </row>
    <row r="13" spans="1:29" ht="12.75" x14ac:dyDescent="0.2">
      <c r="A13" t="s">
        <v>43</v>
      </c>
      <c r="B13" t="s">
        <v>29</v>
      </c>
      <c r="C13" t="s">
        <v>44</v>
      </c>
      <c r="D13" t="s">
        <v>17</v>
      </c>
      <c r="E13" t="s">
        <v>96</v>
      </c>
      <c r="F13" t="s">
        <v>96</v>
      </c>
      <c r="G13" t="s">
        <v>97</v>
      </c>
      <c r="H13" t="s">
        <v>97</v>
      </c>
      <c r="I13" t="s">
        <v>97</v>
      </c>
      <c r="J13" t="s">
        <v>96</v>
      </c>
      <c r="K13" t="s">
        <v>96</v>
      </c>
      <c r="L13" t="s">
        <v>97</v>
      </c>
      <c r="M13" t="s">
        <v>97</v>
      </c>
      <c r="N13" t="s">
        <v>96</v>
      </c>
      <c r="O13" t="s">
        <v>18</v>
      </c>
      <c r="P13" t="s">
        <v>19</v>
      </c>
      <c r="Q13" t="s">
        <v>18</v>
      </c>
      <c r="R13" t="s">
        <v>18</v>
      </c>
      <c r="S13" t="s">
        <v>20</v>
      </c>
      <c r="T13" t="s">
        <v>18</v>
      </c>
      <c r="U13" t="s">
        <v>32</v>
      </c>
      <c r="V13" t="s">
        <v>96</v>
      </c>
      <c r="W13" t="s">
        <v>97</v>
      </c>
      <c r="X13" t="s">
        <v>97</v>
      </c>
      <c r="Y13" t="s">
        <v>97</v>
      </c>
      <c r="Z13" t="s">
        <v>96</v>
      </c>
      <c r="AA13" t="s">
        <v>22</v>
      </c>
      <c r="AB13" t="s">
        <v>23</v>
      </c>
      <c r="AC13" t="s">
        <v>23</v>
      </c>
    </row>
    <row r="14" spans="1:29" ht="12.75" x14ac:dyDescent="0.2">
      <c r="A14" t="s">
        <v>14</v>
      </c>
      <c r="B14" t="s">
        <v>29</v>
      </c>
      <c r="C14" t="s">
        <v>35</v>
      </c>
      <c r="D14" t="s">
        <v>17</v>
      </c>
      <c r="E14" t="s">
        <v>96</v>
      </c>
      <c r="F14" t="s">
        <v>96</v>
      </c>
      <c r="G14" t="s">
        <v>96</v>
      </c>
      <c r="H14" t="s">
        <v>97</v>
      </c>
      <c r="I14" t="s">
        <v>97</v>
      </c>
      <c r="J14" t="s">
        <v>96</v>
      </c>
      <c r="K14" t="s">
        <v>97</v>
      </c>
      <c r="L14" t="s">
        <v>97</v>
      </c>
      <c r="M14" t="s">
        <v>97</v>
      </c>
      <c r="N14" t="s">
        <v>96</v>
      </c>
      <c r="O14" t="s">
        <v>18</v>
      </c>
      <c r="P14" t="s">
        <v>23</v>
      </c>
      <c r="Q14" t="s">
        <v>23</v>
      </c>
      <c r="R14" t="s">
        <v>18</v>
      </c>
      <c r="S14" t="s">
        <v>98</v>
      </c>
      <c r="T14" t="s">
        <v>23</v>
      </c>
      <c r="U14" t="s">
        <v>32</v>
      </c>
      <c r="V14" t="s">
        <v>96</v>
      </c>
      <c r="W14" t="s">
        <v>97</v>
      </c>
      <c r="X14" t="s">
        <v>96</v>
      </c>
      <c r="Y14" t="s">
        <v>97</v>
      </c>
      <c r="Z14" t="s">
        <v>96</v>
      </c>
      <c r="AA14" t="s">
        <v>22</v>
      </c>
      <c r="AB14" t="s">
        <v>23</v>
      </c>
      <c r="AC14" t="s">
        <v>23</v>
      </c>
    </row>
    <row r="15" spans="1:29" ht="12.75" x14ac:dyDescent="0.2">
      <c r="A15" t="s">
        <v>14</v>
      </c>
      <c r="B15" t="s">
        <v>29</v>
      </c>
      <c r="C15" t="s">
        <v>45</v>
      </c>
      <c r="D15" t="s">
        <v>39</v>
      </c>
      <c r="E15" t="s">
        <v>96</v>
      </c>
      <c r="F15" t="s">
        <v>96</v>
      </c>
      <c r="G15" t="s">
        <v>97</v>
      </c>
      <c r="H15" t="s">
        <v>97</v>
      </c>
      <c r="I15" t="s">
        <v>97</v>
      </c>
      <c r="J15" t="s">
        <v>97</v>
      </c>
      <c r="K15" t="s">
        <v>96</v>
      </c>
      <c r="L15" t="s">
        <v>97</v>
      </c>
      <c r="M15" t="s">
        <v>97</v>
      </c>
      <c r="N15" t="s">
        <v>97</v>
      </c>
      <c r="O15" t="s">
        <v>18</v>
      </c>
      <c r="P15" t="s">
        <v>19</v>
      </c>
      <c r="Q15" t="s">
        <v>18</v>
      </c>
      <c r="R15" t="s">
        <v>18</v>
      </c>
      <c r="S15" t="s">
        <v>20</v>
      </c>
      <c r="T15" t="s">
        <v>18</v>
      </c>
      <c r="U15" t="s">
        <v>32</v>
      </c>
      <c r="V15" t="s">
        <v>97</v>
      </c>
      <c r="W15" t="s">
        <v>97</v>
      </c>
      <c r="X15" t="s">
        <v>97</v>
      </c>
      <c r="Y15" t="s">
        <v>97</v>
      </c>
      <c r="Z15" t="s">
        <v>96</v>
      </c>
      <c r="AA15" t="s">
        <v>22</v>
      </c>
      <c r="AB15" t="s">
        <v>23</v>
      </c>
      <c r="AC15" t="s">
        <v>23</v>
      </c>
    </row>
    <row r="16" spans="1:29" ht="12.75" x14ac:dyDescent="0.2">
      <c r="A16" t="s">
        <v>14</v>
      </c>
      <c r="B16" t="s">
        <v>29</v>
      </c>
      <c r="C16" t="s">
        <v>28</v>
      </c>
      <c r="D16" t="s">
        <v>17</v>
      </c>
      <c r="E16" t="s">
        <v>97</v>
      </c>
      <c r="F16" t="s">
        <v>96</v>
      </c>
      <c r="G16" t="s">
        <v>97</v>
      </c>
      <c r="H16" t="s">
        <v>97</v>
      </c>
      <c r="I16" t="s">
        <v>97</v>
      </c>
      <c r="J16" t="s">
        <v>96</v>
      </c>
      <c r="K16" t="s">
        <v>97</v>
      </c>
      <c r="L16" t="s">
        <v>97</v>
      </c>
      <c r="M16" t="s">
        <v>97</v>
      </c>
      <c r="N16" t="s">
        <v>97</v>
      </c>
      <c r="O16" t="s">
        <v>18</v>
      </c>
      <c r="P16" t="s">
        <v>18</v>
      </c>
      <c r="Q16" t="s">
        <v>18</v>
      </c>
      <c r="R16" t="s">
        <v>18</v>
      </c>
      <c r="S16" t="s">
        <v>20</v>
      </c>
      <c r="T16" t="s">
        <v>18</v>
      </c>
      <c r="U16" t="s">
        <v>21</v>
      </c>
      <c r="V16" t="s">
        <v>97</v>
      </c>
      <c r="W16" t="s">
        <v>97</v>
      </c>
      <c r="X16" t="s">
        <v>97</v>
      </c>
      <c r="Y16" t="s">
        <v>97</v>
      </c>
      <c r="Z16" t="s">
        <v>96</v>
      </c>
      <c r="AA16" t="s">
        <v>22</v>
      </c>
      <c r="AB16" t="s">
        <v>23</v>
      </c>
      <c r="AC16" t="s">
        <v>23</v>
      </c>
    </row>
    <row r="17" spans="1:29" ht="12.75" x14ac:dyDescent="0.2">
      <c r="A17" t="s">
        <v>14</v>
      </c>
      <c r="B17" t="s">
        <v>29</v>
      </c>
      <c r="C17" t="s">
        <v>28</v>
      </c>
      <c r="D17" t="s">
        <v>17</v>
      </c>
      <c r="E17" t="s">
        <v>97</v>
      </c>
      <c r="F17" t="s">
        <v>96</v>
      </c>
      <c r="G17" t="s">
        <v>97</v>
      </c>
      <c r="H17" t="s">
        <v>97</v>
      </c>
      <c r="I17" t="s">
        <v>97</v>
      </c>
      <c r="J17" t="s">
        <v>96</v>
      </c>
      <c r="K17" t="s">
        <v>97</v>
      </c>
      <c r="L17" t="s">
        <v>97</v>
      </c>
      <c r="M17" t="s">
        <v>97</v>
      </c>
      <c r="N17" t="s">
        <v>97</v>
      </c>
      <c r="O17" t="s">
        <v>18</v>
      </c>
      <c r="P17" t="s">
        <v>23</v>
      </c>
      <c r="Q17" t="s">
        <v>18</v>
      </c>
      <c r="R17" t="s">
        <v>23</v>
      </c>
      <c r="S17" t="s">
        <v>34</v>
      </c>
      <c r="T17" t="s">
        <v>23</v>
      </c>
      <c r="U17" t="s">
        <v>21</v>
      </c>
      <c r="V17" t="s">
        <v>97</v>
      </c>
      <c r="W17" t="s">
        <v>97</v>
      </c>
      <c r="X17" t="s">
        <v>97</v>
      </c>
      <c r="Y17" t="s">
        <v>97</v>
      </c>
      <c r="Z17" t="s">
        <v>96</v>
      </c>
      <c r="AA17" t="s">
        <v>47</v>
      </c>
      <c r="AB17" t="s">
        <v>23</v>
      </c>
      <c r="AC17" t="s">
        <v>23</v>
      </c>
    </row>
    <row r="18" spans="1:29" ht="12.75" x14ac:dyDescent="0.2">
      <c r="A18" t="s">
        <v>27</v>
      </c>
      <c r="B18" t="s">
        <v>15</v>
      </c>
      <c r="C18" t="s">
        <v>48</v>
      </c>
      <c r="D18" t="s">
        <v>17</v>
      </c>
      <c r="E18" t="s">
        <v>96</v>
      </c>
      <c r="F18" t="s">
        <v>96</v>
      </c>
      <c r="G18" t="s">
        <v>97</v>
      </c>
      <c r="H18" t="s">
        <v>97</v>
      </c>
      <c r="I18" t="s">
        <v>97</v>
      </c>
      <c r="J18" t="s">
        <v>97</v>
      </c>
      <c r="K18" t="s">
        <v>97</v>
      </c>
      <c r="L18" t="s">
        <v>97</v>
      </c>
      <c r="M18" t="s">
        <v>97</v>
      </c>
      <c r="N18" t="s">
        <v>96</v>
      </c>
      <c r="O18" t="s">
        <v>18</v>
      </c>
      <c r="P18" t="s">
        <v>18</v>
      </c>
      <c r="Q18" t="s">
        <v>18</v>
      </c>
      <c r="R18" t="s">
        <v>18</v>
      </c>
      <c r="S18" t="s">
        <v>98</v>
      </c>
      <c r="T18" t="s">
        <v>18</v>
      </c>
      <c r="U18" t="s">
        <v>32</v>
      </c>
      <c r="V18" t="s">
        <v>96</v>
      </c>
      <c r="W18" t="s">
        <v>97</v>
      </c>
      <c r="X18" t="s">
        <v>97</v>
      </c>
      <c r="Y18" t="s">
        <v>97</v>
      </c>
      <c r="Z18" t="s">
        <v>96</v>
      </c>
      <c r="AA18" t="s">
        <v>22</v>
      </c>
      <c r="AB18" t="s">
        <v>18</v>
      </c>
      <c r="AC18" t="s">
        <v>23</v>
      </c>
    </row>
    <row r="19" spans="1:29" ht="12.75" x14ac:dyDescent="0.2">
      <c r="A19" t="s">
        <v>14</v>
      </c>
      <c r="B19" t="s">
        <v>29</v>
      </c>
      <c r="C19" t="s">
        <v>35</v>
      </c>
      <c r="D19" t="s">
        <v>17</v>
      </c>
      <c r="E19" t="s">
        <v>96</v>
      </c>
      <c r="F19" t="s">
        <v>96</v>
      </c>
      <c r="G19" t="s">
        <v>97</v>
      </c>
      <c r="H19" t="s">
        <v>97</v>
      </c>
      <c r="I19" t="s">
        <v>97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18</v>
      </c>
      <c r="P19" t="s">
        <v>19</v>
      </c>
      <c r="Q19" t="s">
        <v>18</v>
      </c>
      <c r="R19" t="s">
        <v>18</v>
      </c>
      <c r="S19" t="s">
        <v>98</v>
      </c>
      <c r="T19" t="s">
        <v>23</v>
      </c>
      <c r="U19" t="s">
        <v>32</v>
      </c>
      <c r="V19" t="s">
        <v>96</v>
      </c>
      <c r="W19" t="s">
        <v>96</v>
      </c>
      <c r="X19" t="s">
        <v>97</v>
      </c>
      <c r="Y19" t="s">
        <v>97</v>
      </c>
      <c r="Z19" t="s">
        <v>96</v>
      </c>
      <c r="AA19" t="s">
        <v>22</v>
      </c>
      <c r="AB19" t="s">
        <v>23</v>
      </c>
      <c r="AC19" t="s">
        <v>23</v>
      </c>
    </row>
    <row r="20" spans="1:29" ht="12.75" x14ac:dyDescent="0.2">
      <c r="A20" t="s">
        <v>14</v>
      </c>
      <c r="B20" t="s">
        <v>15</v>
      </c>
      <c r="C20" t="s">
        <v>50</v>
      </c>
      <c r="D20" t="s">
        <v>17</v>
      </c>
      <c r="E20" t="s">
        <v>96</v>
      </c>
      <c r="F20" t="s">
        <v>96</v>
      </c>
      <c r="G20" t="s">
        <v>96</v>
      </c>
      <c r="H20" t="s">
        <v>97</v>
      </c>
      <c r="I20" t="s">
        <v>97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23</v>
      </c>
      <c r="P20" t="s">
        <v>23</v>
      </c>
      <c r="Q20" t="s">
        <v>23</v>
      </c>
      <c r="R20" t="s">
        <v>23</v>
      </c>
      <c r="S20" t="s">
        <v>26</v>
      </c>
      <c r="T20" t="s">
        <v>23</v>
      </c>
      <c r="U20" t="s">
        <v>21</v>
      </c>
      <c r="V20" t="s">
        <v>96</v>
      </c>
      <c r="W20" t="s">
        <v>96</v>
      </c>
      <c r="X20" t="s">
        <v>97</v>
      </c>
      <c r="Y20" t="s">
        <v>97</v>
      </c>
      <c r="Z20" t="s">
        <v>96</v>
      </c>
      <c r="AA20" t="s">
        <v>22</v>
      </c>
      <c r="AB20" t="s">
        <v>23</v>
      </c>
      <c r="AC20" t="s">
        <v>23</v>
      </c>
    </row>
    <row r="21" spans="1:29" ht="12.75" x14ac:dyDescent="0.2">
      <c r="A21" t="s">
        <v>27</v>
      </c>
      <c r="B21" t="s">
        <v>29</v>
      </c>
      <c r="C21" t="s">
        <v>51</v>
      </c>
      <c r="D21" t="s">
        <v>17</v>
      </c>
      <c r="E21" t="s">
        <v>97</v>
      </c>
      <c r="F21" t="s">
        <v>96</v>
      </c>
      <c r="G21" t="s">
        <v>97</v>
      </c>
      <c r="H21" t="s">
        <v>97</v>
      </c>
      <c r="I21" t="s">
        <v>97</v>
      </c>
      <c r="J21" t="s">
        <v>96</v>
      </c>
      <c r="K21" t="s">
        <v>97</v>
      </c>
      <c r="L21" t="s">
        <v>97</v>
      </c>
      <c r="M21" t="s">
        <v>97</v>
      </c>
      <c r="N21" t="s">
        <v>96</v>
      </c>
      <c r="O21" t="s">
        <v>18</v>
      </c>
      <c r="P21" t="s">
        <v>18</v>
      </c>
      <c r="Q21" t="s">
        <v>18</v>
      </c>
      <c r="R21" t="s">
        <v>18</v>
      </c>
      <c r="S21" t="s">
        <v>20</v>
      </c>
      <c r="T21" t="s">
        <v>18</v>
      </c>
      <c r="U21" t="s">
        <v>32</v>
      </c>
      <c r="V21" t="s">
        <v>96</v>
      </c>
      <c r="W21" t="s">
        <v>97</v>
      </c>
      <c r="X21" t="s">
        <v>96</v>
      </c>
      <c r="Y21" t="s">
        <v>97</v>
      </c>
      <c r="Z21" t="s">
        <v>96</v>
      </c>
      <c r="AA21" t="s">
        <v>22</v>
      </c>
      <c r="AB21" t="s">
        <v>23</v>
      </c>
      <c r="AC21" t="s">
        <v>23</v>
      </c>
    </row>
    <row r="22" spans="1:29" ht="12.75" x14ac:dyDescent="0.2">
      <c r="A22" t="s">
        <v>27</v>
      </c>
      <c r="B22" t="s">
        <v>29</v>
      </c>
      <c r="C22" t="s">
        <v>52</v>
      </c>
      <c r="D22" t="s">
        <v>17</v>
      </c>
      <c r="E22" t="s">
        <v>96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96</v>
      </c>
      <c r="L22" t="s">
        <v>97</v>
      </c>
      <c r="M22" t="s">
        <v>97</v>
      </c>
      <c r="N22" t="s">
        <v>97</v>
      </c>
      <c r="O22" t="s">
        <v>23</v>
      </c>
      <c r="P22" t="s">
        <v>18</v>
      </c>
      <c r="Q22" t="s">
        <v>23</v>
      </c>
      <c r="R22" t="s">
        <v>23</v>
      </c>
      <c r="S22" t="s">
        <v>20</v>
      </c>
      <c r="T22" t="s">
        <v>19</v>
      </c>
      <c r="U22" t="s">
        <v>40</v>
      </c>
      <c r="V22" t="s">
        <v>96</v>
      </c>
      <c r="W22" t="s">
        <v>97</v>
      </c>
      <c r="X22" t="s">
        <v>97</v>
      </c>
      <c r="Y22" t="s">
        <v>97</v>
      </c>
      <c r="Z22" t="s">
        <v>97</v>
      </c>
      <c r="AA22" t="s">
        <v>47</v>
      </c>
      <c r="AB22" t="s">
        <v>23</v>
      </c>
      <c r="AC22" t="s">
        <v>23</v>
      </c>
    </row>
    <row r="23" spans="1:29" ht="12.75" x14ac:dyDescent="0.2">
      <c r="A23" t="s">
        <v>43</v>
      </c>
      <c r="B23" t="s">
        <v>29</v>
      </c>
      <c r="C23" t="s">
        <v>53</v>
      </c>
      <c r="D23" t="s">
        <v>17</v>
      </c>
      <c r="E23" t="s">
        <v>97</v>
      </c>
      <c r="F23" t="s">
        <v>96</v>
      </c>
      <c r="G23" t="s">
        <v>97</v>
      </c>
      <c r="H23" t="s">
        <v>97</v>
      </c>
      <c r="I23" t="s">
        <v>97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23</v>
      </c>
      <c r="P23" t="s">
        <v>18</v>
      </c>
      <c r="Q23" t="s">
        <v>18</v>
      </c>
      <c r="R23" t="s">
        <v>18</v>
      </c>
      <c r="S23" t="s">
        <v>20</v>
      </c>
      <c r="T23" t="s">
        <v>18</v>
      </c>
      <c r="U23" t="s">
        <v>54</v>
      </c>
      <c r="V23" t="s">
        <v>96</v>
      </c>
      <c r="W23" t="s">
        <v>96</v>
      </c>
      <c r="X23" t="s">
        <v>97</v>
      </c>
      <c r="Y23" t="s">
        <v>97</v>
      </c>
      <c r="Z23" t="s">
        <v>96</v>
      </c>
      <c r="AA23" t="s">
        <v>55</v>
      </c>
      <c r="AB23" t="s">
        <v>23</v>
      </c>
      <c r="AC23" t="s">
        <v>23</v>
      </c>
    </row>
    <row r="24" spans="1:29" ht="12.75" x14ac:dyDescent="0.2">
      <c r="A24" t="s">
        <v>27</v>
      </c>
      <c r="B24" t="s">
        <v>29</v>
      </c>
      <c r="C24" t="s">
        <v>56</v>
      </c>
      <c r="D24" t="s">
        <v>39</v>
      </c>
      <c r="E24" t="s">
        <v>97</v>
      </c>
      <c r="F24" t="s">
        <v>96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96</v>
      </c>
      <c r="O24" t="s">
        <v>18</v>
      </c>
      <c r="P24" t="s">
        <v>18</v>
      </c>
      <c r="Q24" t="s">
        <v>18</v>
      </c>
      <c r="R24" t="s">
        <v>18</v>
      </c>
      <c r="S24" t="s">
        <v>20</v>
      </c>
      <c r="T24" t="s">
        <v>18</v>
      </c>
      <c r="U24" t="s">
        <v>21</v>
      </c>
      <c r="V24" t="s">
        <v>96</v>
      </c>
      <c r="W24" t="s">
        <v>97</v>
      </c>
      <c r="X24" t="s">
        <v>97</v>
      </c>
      <c r="Y24" t="s">
        <v>97</v>
      </c>
      <c r="Z24" t="s">
        <v>97</v>
      </c>
      <c r="AA24" t="s">
        <v>22</v>
      </c>
      <c r="AB24" t="s">
        <v>23</v>
      </c>
      <c r="AC24" t="s">
        <v>23</v>
      </c>
    </row>
    <row r="25" spans="1:29" ht="12.75" x14ac:dyDescent="0.2">
      <c r="A25" t="s">
        <v>14</v>
      </c>
      <c r="B25" t="s">
        <v>15</v>
      </c>
      <c r="C25" t="s">
        <v>57</v>
      </c>
      <c r="D25" t="s">
        <v>17</v>
      </c>
      <c r="E25" t="s">
        <v>97</v>
      </c>
      <c r="F25" t="s">
        <v>96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96</v>
      </c>
      <c r="N25" t="s">
        <v>96</v>
      </c>
      <c r="O25" t="s">
        <v>23</v>
      </c>
      <c r="P25" t="s">
        <v>18</v>
      </c>
      <c r="Q25" t="s">
        <v>18</v>
      </c>
      <c r="R25" t="s">
        <v>23</v>
      </c>
      <c r="S25" t="s">
        <v>34</v>
      </c>
      <c r="T25" t="s">
        <v>18</v>
      </c>
      <c r="U25" t="s">
        <v>21</v>
      </c>
      <c r="V25" t="s">
        <v>96</v>
      </c>
      <c r="W25" t="s">
        <v>97</v>
      </c>
      <c r="X25" t="s">
        <v>97</v>
      </c>
      <c r="Y25" t="s">
        <v>97</v>
      </c>
      <c r="Z25" t="s">
        <v>96</v>
      </c>
      <c r="AA25" t="s">
        <v>47</v>
      </c>
      <c r="AB25" t="s">
        <v>23</v>
      </c>
      <c r="AC25" t="s">
        <v>23</v>
      </c>
    </row>
    <row r="26" spans="1:29" ht="12.75" x14ac:dyDescent="0.2">
      <c r="A26" t="s">
        <v>43</v>
      </c>
      <c r="B26" t="s">
        <v>29</v>
      </c>
      <c r="C26" t="s">
        <v>28</v>
      </c>
      <c r="D26" t="s">
        <v>39</v>
      </c>
      <c r="E26" t="s">
        <v>97</v>
      </c>
      <c r="F26" t="s">
        <v>96</v>
      </c>
      <c r="G26" t="s">
        <v>97</v>
      </c>
      <c r="H26" t="s">
        <v>97</v>
      </c>
      <c r="I26" t="s">
        <v>97</v>
      </c>
      <c r="J26" t="s">
        <v>96</v>
      </c>
      <c r="K26" t="s">
        <v>97</v>
      </c>
      <c r="L26" t="s">
        <v>97</v>
      </c>
      <c r="M26" t="s">
        <v>97</v>
      </c>
      <c r="N26" t="s">
        <v>97</v>
      </c>
      <c r="O26" t="s">
        <v>18</v>
      </c>
      <c r="P26" t="s">
        <v>23</v>
      </c>
      <c r="Q26" t="s">
        <v>18</v>
      </c>
      <c r="R26" t="s">
        <v>18</v>
      </c>
      <c r="S26" t="s">
        <v>20</v>
      </c>
      <c r="T26" t="s">
        <v>18</v>
      </c>
      <c r="U26" t="s">
        <v>21</v>
      </c>
      <c r="V26" t="s">
        <v>97</v>
      </c>
      <c r="W26" t="s">
        <v>97</v>
      </c>
      <c r="X26" t="s">
        <v>97</v>
      </c>
      <c r="Y26" t="s">
        <v>97</v>
      </c>
      <c r="Z26" t="s">
        <v>96</v>
      </c>
      <c r="AA26" t="s">
        <v>22</v>
      </c>
      <c r="AB26" t="s">
        <v>23</v>
      </c>
      <c r="AC26" t="s">
        <v>23</v>
      </c>
    </row>
    <row r="27" spans="1:29" ht="12.75" x14ac:dyDescent="0.2">
      <c r="A27" t="s">
        <v>14</v>
      </c>
      <c r="B27" t="s">
        <v>29</v>
      </c>
      <c r="C27" t="s">
        <v>24</v>
      </c>
      <c r="D27" t="s">
        <v>39</v>
      </c>
      <c r="E27" t="s">
        <v>97</v>
      </c>
      <c r="F27" t="s">
        <v>96</v>
      </c>
      <c r="G27" t="s">
        <v>97</v>
      </c>
      <c r="H27" t="s">
        <v>97</v>
      </c>
      <c r="I27" t="s">
        <v>97</v>
      </c>
      <c r="J27" t="s">
        <v>97</v>
      </c>
      <c r="K27" t="s">
        <v>96</v>
      </c>
      <c r="L27" t="s">
        <v>97</v>
      </c>
      <c r="M27" t="s">
        <v>97</v>
      </c>
      <c r="N27" t="s">
        <v>97</v>
      </c>
      <c r="O27" t="s">
        <v>18</v>
      </c>
      <c r="P27" t="s">
        <v>23</v>
      </c>
      <c r="Q27" t="s">
        <v>18</v>
      </c>
      <c r="R27" t="s">
        <v>18</v>
      </c>
      <c r="S27" t="s">
        <v>20</v>
      </c>
      <c r="T27" t="s">
        <v>18</v>
      </c>
      <c r="U27" t="s">
        <v>32</v>
      </c>
      <c r="V27" t="s">
        <v>97</v>
      </c>
      <c r="W27" t="s">
        <v>97</v>
      </c>
      <c r="X27" t="s">
        <v>97</v>
      </c>
      <c r="Y27" t="s">
        <v>97</v>
      </c>
      <c r="Z27" t="s">
        <v>96</v>
      </c>
      <c r="AA27" t="s">
        <v>22</v>
      </c>
      <c r="AB27" t="s">
        <v>23</v>
      </c>
      <c r="AC27" t="s">
        <v>23</v>
      </c>
    </row>
    <row r="28" spans="1:29" ht="12.75" x14ac:dyDescent="0.2">
      <c r="A28" t="s">
        <v>27</v>
      </c>
      <c r="B28" t="s">
        <v>15</v>
      </c>
      <c r="C28" t="s">
        <v>51</v>
      </c>
      <c r="D28" t="s">
        <v>17</v>
      </c>
      <c r="E28" t="s">
        <v>96</v>
      </c>
      <c r="F28" t="s">
        <v>96</v>
      </c>
      <c r="G28" t="s">
        <v>97</v>
      </c>
      <c r="H28" t="s">
        <v>97</v>
      </c>
      <c r="I28" t="s">
        <v>97</v>
      </c>
      <c r="J28" t="s">
        <v>96</v>
      </c>
      <c r="K28" t="s">
        <v>96</v>
      </c>
      <c r="L28" t="s">
        <v>97</v>
      </c>
      <c r="M28" t="s">
        <v>97</v>
      </c>
      <c r="N28" t="s">
        <v>97</v>
      </c>
      <c r="O28" t="s">
        <v>18</v>
      </c>
      <c r="P28" t="s">
        <v>23</v>
      </c>
      <c r="Q28" t="s">
        <v>18</v>
      </c>
      <c r="R28" t="s">
        <v>18</v>
      </c>
      <c r="S28" t="s">
        <v>20</v>
      </c>
      <c r="T28" t="s">
        <v>18</v>
      </c>
      <c r="U28" t="s">
        <v>32</v>
      </c>
      <c r="V28" t="s">
        <v>96</v>
      </c>
      <c r="W28" t="s">
        <v>97</v>
      </c>
      <c r="X28" t="s">
        <v>97</v>
      </c>
      <c r="Y28" t="s">
        <v>97</v>
      </c>
      <c r="Z28" t="s">
        <v>96</v>
      </c>
      <c r="AA28" t="s">
        <v>22</v>
      </c>
      <c r="AB28" t="s">
        <v>23</v>
      </c>
      <c r="AC28" t="s">
        <v>23</v>
      </c>
    </row>
    <row r="29" spans="1:29" ht="12.75" x14ac:dyDescent="0.2">
      <c r="A29" t="s">
        <v>14</v>
      </c>
      <c r="B29" t="s">
        <v>29</v>
      </c>
      <c r="C29" t="s">
        <v>58</v>
      </c>
      <c r="D29" t="s">
        <v>17</v>
      </c>
      <c r="E29" t="s">
        <v>96</v>
      </c>
      <c r="F29" t="s">
        <v>97</v>
      </c>
      <c r="G29" t="s">
        <v>97</v>
      </c>
      <c r="H29" t="s">
        <v>97</v>
      </c>
      <c r="I29" t="s">
        <v>97</v>
      </c>
      <c r="J29" t="s">
        <v>96</v>
      </c>
      <c r="K29" t="s">
        <v>97</v>
      </c>
      <c r="L29" t="s">
        <v>97</v>
      </c>
      <c r="M29" t="s">
        <v>97</v>
      </c>
      <c r="N29" t="s">
        <v>97</v>
      </c>
      <c r="O29" t="s">
        <v>18</v>
      </c>
      <c r="P29" t="s">
        <v>19</v>
      </c>
      <c r="Q29" t="s">
        <v>18</v>
      </c>
      <c r="R29" t="s">
        <v>18</v>
      </c>
      <c r="S29" t="s">
        <v>20</v>
      </c>
      <c r="T29" t="s">
        <v>18</v>
      </c>
      <c r="U29" t="s">
        <v>21</v>
      </c>
      <c r="V29" t="s">
        <v>96</v>
      </c>
      <c r="W29" t="s">
        <v>97</v>
      </c>
      <c r="X29" t="s">
        <v>97</v>
      </c>
      <c r="Y29" t="s">
        <v>97</v>
      </c>
      <c r="Z29" t="s">
        <v>96</v>
      </c>
      <c r="AA29" t="s">
        <v>47</v>
      </c>
      <c r="AB29" t="s">
        <v>23</v>
      </c>
      <c r="AC29" t="s">
        <v>23</v>
      </c>
    </row>
    <row r="30" spans="1:29" ht="12.75" x14ac:dyDescent="0.2">
      <c r="A30" t="s">
        <v>27</v>
      </c>
      <c r="B30" t="s">
        <v>29</v>
      </c>
      <c r="C30" t="s">
        <v>59</v>
      </c>
      <c r="D30" t="s">
        <v>17</v>
      </c>
      <c r="E30" t="s">
        <v>96</v>
      </c>
      <c r="F30" t="s">
        <v>97</v>
      </c>
      <c r="G30" t="s">
        <v>97</v>
      </c>
      <c r="H30" t="s">
        <v>97</v>
      </c>
      <c r="I30" t="s">
        <v>97</v>
      </c>
      <c r="J30" t="s">
        <v>97</v>
      </c>
      <c r="K30" t="s">
        <v>96</v>
      </c>
      <c r="L30" t="s">
        <v>97</v>
      </c>
      <c r="M30" t="s">
        <v>97</v>
      </c>
      <c r="N30" t="s">
        <v>97</v>
      </c>
      <c r="O30" t="s">
        <v>18</v>
      </c>
      <c r="P30" t="s">
        <v>23</v>
      </c>
      <c r="Q30" t="s">
        <v>18</v>
      </c>
      <c r="R30" t="s">
        <v>18</v>
      </c>
      <c r="S30" t="s">
        <v>20</v>
      </c>
      <c r="T30" t="s">
        <v>18</v>
      </c>
      <c r="U30" t="s">
        <v>32</v>
      </c>
      <c r="V30" t="s">
        <v>96</v>
      </c>
      <c r="W30" t="s">
        <v>97</v>
      </c>
      <c r="X30" t="s">
        <v>97</v>
      </c>
      <c r="Y30" t="s">
        <v>97</v>
      </c>
      <c r="Z30" t="s">
        <v>97</v>
      </c>
      <c r="AA30" t="s">
        <v>22</v>
      </c>
      <c r="AB30" t="s">
        <v>23</v>
      </c>
      <c r="AC30" t="s">
        <v>23</v>
      </c>
    </row>
    <row r="31" spans="1:29" ht="12.75" x14ac:dyDescent="0.2">
      <c r="A31" t="s">
        <v>27</v>
      </c>
      <c r="B31" t="s">
        <v>15</v>
      </c>
      <c r="C31" t="s">
        <v>60</v>
      </c>
      <c r="D31" t="s">
        <v>61</v>
      </c>
      <c r="E31" t="s">
        <v>97</v>
      </c>
      <c r="F31" t="s">
        <v>97</v>
      </c>
      <c r="G31" t="s">
        <v>97</v>
      </c>
      <c r="H31" t="s">
        <v>97</v>
      </c>
      <c r="I31" t="s">
        <v>96</v>
      </c>
      <c r="J31" t="s">
        <v>97</v>
      </c>
      <c r="K31" t="s">
        <v>97</v>
      </c>
      <c r="L31" t="s">
        <v>97</v>
      </c>
      <c r="M31" t="s">
        <v>97</v>
      </c>
      <c r="N31" t="s">
        <v>96</v>
      </c>
      <c r="O31" t="s">
        <v>23</v>
      </c>
      <c r="P31" t="s">
        <v>18</v>
      </c>
      <c r="Q31" t="s">
        <v>18</v>
      </c>
      <c r="R31" t="s">
        <v>23</v>
      </c>
      <c r="S31" t="s">
        <v>49</v>
      </c>
      <c r="T31" t="s">
        <v>19</v>
      </c>
      <c r="U31" t="s">
        <v>21</v>
      </c>
      <c r="V31" t="s">
        <v>96</v>
      </c>
      <c r="W31" t="s">
        <v>97</v>
      </c>
      <c r="X31" t="s">
        <v>97</v>
      </c>
      <c r="Y31" t="s">
        <v>97</v>
      </c>
      <c r="Z31" t="s">
        <v>96</v>
      </c>
      <c r="AA31" t="s">
        <v>47</v>
      </c>
      <c r="AB31" t="s">
        <v>23</v>
      </c>
      <c r="AC31" t="s">
        <v>18</v>
      </c>
    </row>
    <row r="32" spans="1:29" ht="12.75" x14ac:dyDescent="0.2">
      <c r="A32" t="s">
        <v>27</v>
      </c>
      <c r="B32" t="s">
        <v>29</v>
      </c>
      <c r="C32" t="s">
        <v>16</v>
      </c>
      <c r="D32" t="s">
        <v>17</v>
      </c>
      <c r="E32" t="s">
        <v>96</v>
      </c>
      <c r="F32" t="s">
        <v>96</v>
      </c>
      <c r="G32" t="s">
        <v>97</v>
      </c>
      <c r="H32" t="s">
        <v>97</v>
      </c>
      <c r="I32" t="s">
        <v>97</v>
      </c>
      <c r="J32" t="s">
        <v>96</v>
      </c>
      <c r="K32" t="s">
        <v>97</v>
      </c>
      <c r="L32" t="s">
        <v>97</v>
      </c>
      <c r="M32" t="s">
        <v>97</v>
      </c>
      <c r="N32" t="s">
        <v>97</v>
      </c>
      <c r="O32" t="s">
        <v>18</v>
      </c>
      <c r="P32" t="s">
        <v>19</v>
      </c>
      <c r="Q32" t="s">
        <v>18</v>
      </c>
      <c r="R32" t="s">
        <v>18</v>
      </c>
      <c r="S32" t="s">
        <v>20</v>
      </c>
      <c r="T32" t="s">
        <v>18</v>
      </c>
      <c r="U32" t="s">
        <v>32</v>
      </c>
      <c r="V32" t="s">
        <v>96</v>
      </c>
      <c r="W32" t="s">
        <v>97</v>
      </c>
      <c r="X32" t="s">
        <v>97</v>
      </c>
      <c r="Y32" t="s">
        <v>97</v>
      </c>
      <c r="Z32" t="s">
        <v>96</v>
      </c>
      <c r="AA32" t="s">
        <v>22</v>
      </c>
      <c r="AB32" t="s">
        <v>23</v>
      </c>
      <c r="AC32" t="s">
        <v>23</v>
      </c>
    </row>
    <row r="33" spans="1:29" ht="12.75" x14ac:dyDescent="0.2">
      <c r="A33" t="s">
        <v>27</v>
      </c>
      <c r="B33" t="s">
        <v>29</v>
      </c>
      <c r="C33" t="s">
        <v>24</v>
      </c>
      <c r="D33" t="s">
        <v>17</v>
      </c>
      <c r="E33" t="s">
        <v>96</v>
      </c>
      <c r="F33" t="s">
        <v>96</v>
      </c>
      <c r="G33" t="s">
        <v>96</v>
      </c>
      <c r="H33" t="s">
        <v>97</v>
      </c>
      <c r="I33" t="s">
        <v>97</v>
      </c>
      <c r="J33" t="s">
        <v>96</v>
      </c>
      <c r="K33" t="s">
        <v>97</v>
      </c>
      <c r="L33" t="s">
        <v>96</v>
      </c>
      <c r="M33" t="s">
        <v>97</v>
      </c>
      <c r="N33" t="s">
        <v>96</v>
      </c>
      <c r="O33" t="s">
        <v>18</v>
      </c>
      <c r="P33" t="s">
        <v>18</v>
      </c>
      <c r="Q33" t="s">
        <v>18</v>
      </c>
      <c r="R33" t="s">
        <v>18</v>
      </c>
      <c r="S33" t="s">
        <v>20</v>
      </c>
      <c r="T33" t="s">
        <v>18</v>
      </c>
      <c r="U33" t="s">
        <v>21</v>
      </c>
      <c r="V33" t="s">
        <v>96</v>
      </c>
      <c r="W33" t="s">
        <v>97</v>
      </c>
      <c r="X33" t="s">
        <v>97</v>
      </c>
      <c r="Y33" t="s">
        <v>97</v>
      </c>
      <c r="Z33" t="s">
        <v>96</v>
      </c>
      <c r="AA33" t="s">
        <v>22</v>
      </c>
      <c r="AB33" t="s">
        <v>23</v>
      </c>
      <c r="AC33" t="s">
        <v>23</v>
      </c>
    </row>
    <row r="34" spans="1:29" ht="12.75" x14ac:dyDescent="0.2">
      <c r="A34" t="s">
        <v>14</v>
      </c>
      <c r="B34" t="s">
        <v>29</v>
      </c>
      <c r="C34" t="s">
        <v>62</v>
      </c>
      <c r="D34" t="s">
        <v>17</v>
      </c>
      <c r="E34" t="s">
        <v>97</v>
      </c>
      <c r="F34" t="s">
        <v>96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97</v>
      </c>
      <c r="M34" t="s">
        <v>97</v>
      </c>
      <c r="N34" t="s">
        <v>96</v>
      </c>
      <c r="O34" t="s">
        <v>18</v>
      </c>
      <c r="P34" t="s">
        <v>18</v>
      </c>
      <c r="Q34" t="s">
        <v>18</v>
      </c>
      <c r="R34" t="s">
        <v>18</v>
      </c>
      <c r="S34" t="s">
        <v>20</v>
      </c>
      <c r="T34" t="s">
        <v>18</v>
      </c>
      <c r="U34" t="s">
        <v>21</v>
      </c>
      <c r="V34" t="s">
        <v>96</v>
      </c>
      <c r="W34" t="s">
        <v>96</v>
      </c>
      <c r="X34" t="s">
        <v>97</v>
      </c>
      <c r="Y34" t="s">
        <v>97</v>
      </c>
      <c r="Z34" t="s">
        <v>96</v>
      </c>
      <c r="AA34" t="s">
        <v>22</v>
      </c>
      <c r="AB34" t="s">
        <v>18</v>
      </c>
      <c r="AC34" t="s">
        <v>23</v>
      </c>
    </row>
    <row r="35" spans="1:29" ht="12.75" x14ac:dyDescent="0.2">
      <c r="A35" t="s">
        <v>14</v>
      </c>
      <c r="B35" t="s">
        <v>15</v>
      </c>
      <c r="C35" t="s">
        <v>63</v>
      </c>
      <c r="D35" t="s">
        <v>17</v>
      </c>
      <c r="E35" t="s">
        <v>96</v>
      </c>
      <c r="F35" t="s">
        <v>96</v>
      </c>
      <c r="G35" t="s">
        <v>97</v>
      </c>
      <c r="H35" t="s">
        <v>97</v>
      </c>
      <c r="I35" t="s">
        <v>97</v>
      </c>
      <c r="J35" t="s">
        <v>97</v>
      </c>
      <c r="K35" t="s">
        <v>96</v>
      </c>
      <c r="L35" t="s">
        <v>97</v>
      </c>
      <c r="M35" t="s">
        <v>96</v>
      </c>
      <c r="N35" t="s">
        <v>97</v>
      </c>
      <c r="O35" t="s">
        <v>23</v>
      </c>
      <c r="P35" t="s">
        <v>18</v>
      </c>
      <c r="Q35" t="s">
        <v>18</v>
      </c>
      <c r="R35" t="s">
        <v>18</v>
      </c>
      <c r="S35" t="s">
        <v>20</v>
      </c>
      <c r="T35" t="s">
        <v>18</v>
      </c>
      <c r="U35" t="s">
        <v>32</v>
      </c>
      <c r="V35" t="s">
        <v>96</v>
      </c>
      <c r="W35" t="s">
        <v>97</v>
      </c>
      <c r="X35" t="s">
        <v>97</v>
      </c>
      <c r="Y35" t="s">
        <v>97</v>
      </c>
      <c r="Z35" t="s">
        <v>97</v>
      </c>
      <c r="AA35" t="s">
        <v>22</v>
      </c>
      <c r="AB35" t="s">
        <v>23</v>
      </c>
      <c r="AC35" t="s">
        <v>23</v>
      </c>
    </row>
    <row r="36" spans="1:29" ht="12.75" x14ac:dyDescent="0.2">
      <c r="A36" t="s">
        <v>14</v>
      </c>
      <c r="B36" t="s">
        <v>15</v>
      </c>
      <c r="C36" t="s">
        <v>63</v>
      </c>
      <c r="D36" t="s">
        <v>17</v>
      </c>
      <c r="E36" t="s">
        <v>96</v>
      </c>
      <c r="F36" t="s">
        <v>96</v>
      </c>
      <c r="G36" t="s">
        <v>97</v>
      </c>
      <c r="H36" t="s">
        <v>97</v>
      </c>
      <c r="I36" t="s">
        <v>97</v>
      </c>
      <c r="J36" t="s">
        <v>96</v>
      </c>
      <c r="K36" t="s">
        <v>96</v>
      </c>
      <c r="L36" t="s">
        <v>96</v>
      </c>
      <c r="M36" t="s">
        <v>97</v>
      </c>
      <c r="N36" t="s">
        <v>97</v>
      </c>
      <c r="O36" t="s">
        <v>23</v>
      </c>
      <c r="P36" t="s">
        <v>18</v>
      </c>
      <c r="Q36" t="s">
        <v>18</v>
      </c>
      <c r="R36" t="s">
        <v>18</v>
      </c>
      <c r="S36" t="s">
        <v>20</v>
      </c>
      <c r="T36" t="s">
        <v>18</v>
      </c>
      <c r="U36" t="s">
        <v>32</v>
      </c>
      <c r="V36" t="s">
        <v>96</v>
      </c>
      <c r="W36" t="s">
        <v>97</v>
      </c>
      <c r="X36" t="s">
        <v>97</v>
      </c>
      <c r="Y36" t="s">
        <v>97</v>
      </c>
      <c r="Z36" t="s">
        <v>96</v>
      </c>
      <c r="AA36" t="s">
        <v>22</v>
      </c>
      <c r="AB36" t="s">
        <v>23</v>
      </c>
      <c r="AC36" t="s">
        <v>18</v>
      </c>
    </row>
    <row r="37" spans="1:29" ht="12.75" x14ac:dyDescent="0.2">
      <c r="A37" t="s">
        <v>27</v>
      </c>
      <c r="B37" t="s">
        <v>29</v>
      </c>
      <c r="C37" t="s">
        <v>62</v>
      </c>
      <c r="D37" t="s">
        <v>17</v>
      </c>
      <c r="E37" t="s">
        <v>96</v>
      </c>
      <c r="F37" t="s">
        <v>96</v>
      </c>
      <c r="G37" t="s">
        <v>97</v>
      </c>
      <c r="H37" t="s">
        <v>97</v>
      </c>
      <c r="I37" t="s">
        <v>97</v>
      </c>
      <c r="J37" t="s">
        <v>96</v>
      </c>
      <c r="K37" t="s">
        <v>96</v>
      </c>
      <c r="L37" t="s">
        <v>97</v>
      </c>
      <c r="M37" t="s">
        <v>97</v>
      </c>
      <c r="N37" t="s">
        <v>96</v>
      </c>
      <c r="O37" t="s">
        <v>18</v>
      </c>
      <c r="P37" t="s">
        <v>18</v>
      </c>
      <c r="Q37" t="s">
        <v>23</v>
      </c>
      <c r="R37" t="s">
        <v>18</v>
      </c>
      <c r="S37" t="s">
        <v>20</v>
      </c>
      <c r="T37" t="s">
        <v>23</v>
      </c>
      <c r="U37" t="s">
        <v>32</v>
      </c>
      <c r="V37" t="s">
        <v>96</v>
      </c>
      <c r="W37" t="s">
        <v>97</v>
      </c>
      <c r="X37" t="s">
        <v>97</v>
      </c>
      <c r="Y37" t="s">
        <v>97</v>
      </c>
      <c r="Z37" t="s">
        <v>96</v>
      </c>
      <c r="AA37" t="s">
        <v>22</v>
      </c>
      <c r="AB37" t="s">
        <v>23</v>
      </c>
      <c r="AC37" t="s">
        <v>23</v>
      </c>
    </row>
    <row r="38" spans="1:29" ht="12.75" x14ac:dyDescent="0.2">
      <c r="A38" t="s">
        <v>27</v>
      </c>
      <c r="B38" t="s">
        <v>15</v>
      </c>
      <c r="C38" t="s">
        <v>30</v>
      </c>
      <c r="D38" t="s">
        <v>17</v>
      </c>
      <c r="E38" t="s">
        <v>96</v>
      </c>
      <c r="F38" t="s">
        <v>96</v>
      </c>
      <c r="G38" t="s">
        <v>97</v>
      </c>
      <c r="H38" t="s">
        <v>97</v>
      </c>
      <c r="I38" t="s">
        <v>97</v>
      </c>
      <c r="J38" t="s">
        <v>96</v>
      </c>
      <c r="K38" t="s">
        <v>97</v>
      </c>
      <c r="L38" t="s">
        <v>97</v>
      </c>
      <c r="M38" t="s">
        <v>96</v>
      </c>
      <c r="N38" t="s">
        <v>97</v>
      </c>
      <c r="O38" t="s">
        <v>18</v>
      </c>
      <c r="P38" t="s">
        <v>18</v>
      </c>
      <c r="Q38" t="s">
        <v>23</v>
      </c>
      <c r="R38" t="s">
        <v>18</v>
      </c>
      <c r="S38" t="s">
        <v>20</v>
      </c>
      <c r="T38" t="s">
        <v>18</v>
      </c>
      <c r="U38" t="s">
        <v>32</v>
      </c>
      <c r="V38" t="s">
        <v>97</v>
      </c>
      <c r="W38" t="s">
        <v>97</v>
      </c>
      <c r="X38" t="s">
        <v>97</v>
      </c>
      <c r="Y38" t="s">
        <v>97</v>
      </c>
      <c r="Z38" t="s">
        <v>96</v>
      </c>
      <c r="AA38" t="s">
        <v>47</v>
      </c>
      <c r="AB38" t="s">
        <v>23</v>
      </c>
      <c r="AC38" t="s">
        <v>23</v>
      </c>
    </row>
    <row r="39" spans="1:29" ht="12.75" x14ac:dyDescent="0.2">
      <c r="A39" t="s">
        <v>14</v>
      </c>
      <c r="B39" t="s">
        <v>29</v>
      </c>
      <c r="C39" t="s">
        <v>50</v>
      </c>
      <c r="D39" t="s">
        <v>17</v>
      </c>
      <c r="E39" t="s">
        <v>96</v>
      </c>
      <c r="F39" t="s">
        <v>96</v>
      </c>
      <c r="G39" t="s">
        <v>97</v>
      </c>
      <c r="H39" t="s">
        <v>97</v>
      </c>
      <c r="I39" t="s">
        <v>97</v>
      </c>
      <c r="J39" t="s">
        <v>96</v>
      </c>
      <c r="K39" t="s">
        <v>96</v>
      </c>
      <c r="L39" t="s">
        <v>96</v>
      </c>
      <c r="M39" t="s">
        <v>96</v>
      </c>
      <c r="N39" t="s">
        <v>96</v>
      </c>
      <c r="O39" t="s">
        <v>18</v>
      </c>
      <c r="P39" t="s">
        <v>18</v>
      </c>
      <c r="Q39" t="s">
        <v>18</v>
      </c>
      <c r="R39" t="s">
        <v>18</v>
      </c>
      <c r="S39" t="s">
        <v>20</v>
      </c>
      <c r="T39" t="s">
        <v>18</v>
      </c>
      <c r="U39" t="s">
        <v>32</v>
      </c>
      <c r="V39" t="s">
        <v>96</v>
      </c>
      <c r="W39" t="s">
        <v>96</v>
      </c>
      <c r="X39" t="s">
        <v>97</v>
      </c>
      <c r="Y39" t="s">
        <v>97</v>
      </c>
      <c r="Z39" t="s">
        <v>96</v>
      </c>
      <c r="AA39" t="s">
        <v>22</v>
      </c>
      <c r="AB39" t="s">
        <v>23</v>
      </c>
      <c r="AC39" t="s">
        <v>23</v>
      </c>
    </row>
    <row r="40" spans="1:29" ht="12.75" x14ac:dyDescent="0.2">
      <c r="A40" t="s">
        <v>14</v>
      </c>
      <c r="B40" t="s">
        <v>29</v>
      </c>
      <c r="C40" t="s">
        <v>62</v>
      </c>
      <c r="D40" t="s">
        <v>17</v>
      </c>
      <c r="E40" t="s">
        <v>97</v>
      </c>
      <c r="F40" t="s">
        <v>96</v>
      </c>
      <c r="G40" t="s">
        <v>97</v>
      </c>
      <c r="H40" t="s">
        <v>97</v>
      </c>
      <c r="I40" t="s">
        <v>97</v>
      </c>
      <c r="J40" t="s">
        <v>96</v>
      </c>
      <c r="K40" t="s">
        <v>97</v>
      </c>
      <c r="L40" t="s">
        <v>97</v>
      </c>
      <c r="M40" t="s">
        <v>97</v>
      </c>
      <c r="N40" t="s">
        <v>97</v>
      </c>
      <c r="O40" t="s">
        <v>18</v>
      </c>
      <c r="P40" t="s">
        <v>18</v>
      </c>
      <c r="Q40" t="s">
        <v>23</v>
      </c>
      <c r="R40" t="s">
        <v>23</v>
      </c>
      <c r="S40" t="s">
        <v>26</v>
      </c>
      <c r="T40" t="s">
        <v>18</v>
      </c>
      <c r="U40" t="s">
        <v>21</v>
      </c>
      <c r="V40" t="s">
        <v>96</v>
      </c>
      <c r="W40" t="s">
        <v>97</v>
      </c>
      <c r="X40" t="s">
        <v>97</v>
      </c>
      <c r="Y40" t="s">
        <v>97</v>
      </c>
      <c r="Z40" t="s">
        <v>97</v>
      </c>
      <c r="AA40" t="s">
        <v>22</v>
      </c>
      <c r="AB40" t="s">
        <v>23</v>
      </c>
      <c r="AC40" t="s">
        <v>23</v>
      </c>
    </row>
    <row r="41" spans="1:29" ht="12.75" x14ac:dyDescent="0.2">
      <c r="A41" t="s">
        <v>14</v>
      </c>
      <c r="B41" t="s">
        <v>29</v>
      </c>
      <c r="C41" t="s">
        <v>64</v>
      </c>
      <c r="D41" t="s">
        <v>17</v>
      </c>
      <c r="E41" t="s">
        <v>97</v>
      </c>
      <c r="F41" t="s">
        <v>96</v>
      </c>
      <c r="G41" t="s">
        <v>97</v>
      </c>
      <c r="H41" t="s">
        <v>97</v>
      </c>
      <c r="I41" t="s">
        <v>97</v>
      </c>
      <c r="J41" t="s">
        <v>97</v>
      </c>
      <c r="K41" t="s">
        <v>96</v>
      </c>
      <c r="L41" t="s">
        <v>97</v>
      </c>
      <c r="M41" t="s">
        <v>97</v>
      </c>
      <c r="N41" t="s">
        <v>96</v>
      </c>
      <c r="O41" t="s">
        <v>18</v>
      </c>
      <c r="P41" t="s">
        <v>18</v>
      </c>
      <c r="Q41" t="s">
        <v>18</v>
      </c>
      <c r="R41" t="s">
        <v>18</v>
      </c>
      <c r="S41" t="s">
        <v>98</v>
      </c>
      <c r="T41" t="s">
        <v>18</v>
      </c>
      <c r="U41" t="s">
        <v>32</v>
      </c>
      <c r="V41" t="s">
        <v>97</v>
      </c>
      <c r="W41" t="s">
        <v>97</v>
      </c>
      <c r="X41" t="s">
        <v>97</v>
      </c>
      <c r="Y41" t="s">
        <v>97</v>
      </c>
      <c r="Z41" t="s">
        <v>96</v>
      </c>
      <c r="AA41" t="s">
        <v>22</v>
      </c>
      <c r="AB41" t="s">
        <v>23</v>
      </c>
      <c r="AC41" t="s">
        <v>23</v>
      </c>
    </row>
    <row r="42" spans="1:29" ht="12.75" x14ac:dyDescent="0.2">
      <c r="A42" t="s">
        <v>27</v>
      </c>
      <c r="B42" t="s">
        <v>29</v>
      </c>
      <c r="C42" t="s">
        <v>35</v>
      </c>
      <c r="D42" t="s">
        <v>61</v>
      </c>
      <c r="E42" t="s">
        <v>96</v>
      </c>
      <c r="F42" t="s">
        <v>96</v>
      </c>
      <c r="G42" t="s">
        <v>97</v>
      </c>
      <c r="H42" t="s">
        <v>97</v>
      </c>
      <c r="I42" t="s">
        <v>97</v>
      </c>
      <c r="J42" t="s">
        <v>96</v>
      </c>
      <c r="K42" t="s">
        <v>97</v>
      </c>
      <c r="L42" t="s">
        <v>97</v>
      </c>
      <c r="M42" t="s">
        <v>97</v>
      </c>
      <c r="N42" t="s">
        <v>96</v>
      </c>
      <c r="O42" t="s">
        <v>18</v>
      </c>
      <c r="P42" t="s">
        <v>23</v>
      </c>
      <c r="Q42" t="s">
        <v>18</v>
      </c>
      <c r="R42" t="s">
        <v>23</v>
      </c>
      <c r="S42" t="s">
        <v>26</v>
      </c>
      <c r="T42" t="s">
        <v>23</v>
      </c>
      <c r="U42" t="s">
        <v>32</v>
      </c>
      <c r="V42" t="s">
        <v>96</v>
      </c>
      <c r="W42" t="s">
        <v>97</v>
      </c>
      <c r="X42" t="s">
        <v>97</v>
      </c>
      <c r="Y42" t="s">
        <v>97</v>
      </c>
      <c r="Z42" t="s">
        <v>96</v>
      </c>
      <c r="AA42" t="s">
        <v>22</v>
      </c>
      <c r="AB42" t="s">
        <v>23</v>
      </c>
      <c r="AC42" t="s">
        <v>23</v>
      </c>
    </row>
    <row r="43" spans="1:29" ht="12.75" x14ac:dyDescent="0.2">
      <c r="A43" t="s">
        <v>43</v>
      </c>
      <c r="B43" t="s">
        <v>29</v>
      </c>
      <c r="C43" t="s">
        <v>65</v>
      </c>
      <c r="D43" t="s">
        <v>17</v>
      </c>
      <c r="E43" t="s">
        <v>97</v>
      </c>
      <c r="F43" t="s">
        <v>96</v>
      </c>
      <c r="G43" t="s">
        <v>97</v>
      </c>
      <c r="H43" t="s">
        <v>97</v>
      </c>
      <c r="I43" t="s">
        <v>97</v>
      </c>
      <c r="J43" t="s">
        <v>96</v>
      </c>
      <c r="K43" t="s">
        <v>96</v>
      </c>
      <c r="L43" t="s">
        <v>97</v>
      </c>
      <c r="M43" t="s">
        <v>97</v>
      </c>
      <c r="N43" t="s">
        <v>96</v>
      </c>
      <c r="O43" t="s">
        <v>18</v>
      </c>
      <c r="P43" t="s">
        <v>18</v>
      </c>
      <c r="Q43" t="s">
        <v>18</v>
      </c>
      <c r="R43" t="s">
        <v>18</v>
      </c>
      <c r="S43" t="s">
        <v>20</v>
      </c>
      <c r="T43" t="s">
        <v>18</v>
      </c>
      <c r="U43" t="s">
        <v>32</v>
      </c>
      <c r="V43" t="s">
        <v>96</v>
      </c>
      <c r="W43" t="s">
        <v>97</v>
      </c>
      <c r="X43" t="s">
        <v>97</v>
      </c>
      <c r="Y43" t="s">
        <v>97</v>
      </c>
      <c r="Z43" t="s">
        <v>96</v>
      </c>
      <c r="AA43" t="s">
        <v>22</v>
      </c>
      <c r="AB43" t="s">
        <v>23</v>
      </c>
      <c r="AC43" t="s">
        <v>23</v>
      </c>
    </row>
    <row r="44" spans="1:29" ht="12.75" x14ac:dyDescent="0.2">
      <c r="A44" t="s">
        <v>14</v>
      </c>
      <c r="B44" t="s">
        <v>15</v>
      </c>
      <c r="C44" t="s">
        <v>51</v>
      </c>
      <c r="D44" t="s">
        <v>17</v>
      </c>
      <c r="E44" t="s">
        <v>97</v>
      </c>
      <c r="F44" t="s">
        <v>96</v>
      </c>
      <c r="G44" t="s">
        <v>97</v>
      </c>
      <c r="H44" t="s">
        <v>96</v>
      </c>
      <c r="I44" t="s">
        <v>97</v>
      </c>
      <c r="J44" t="s">
        <v>96</v>
      </c>
      <c r="K44" t="s">
        <v>97</v>
      </c>
      <c r="L44" t="s">
        <v>97</v>
      </c>
      <c r="M44" t="s">
        <v>97</v>
      </c>
      <c r="N44" t="s">
        <v>97</v>
      </c>
      <c r="O44" t="s">
        <v>23</v>
      </c>
      <c r="P44" t="s">
        <v>19</v>
      </c>
      <c r="Q44" t="s">
        <v>18</v>
      </c>
      <c r="R44" t="s">
        <v>18</v>
      </c>
      <c r="S44" t="s">
        <v>20</v>
      </c>
      <c r="T44" t="s">
        <v>18</v>
      </c>
      <c r="U44" t="s">
        <v>40</v>
      </c>
      <c r="V44" t="s">
        <v>96</v>
      </c>
      <c r="W44" t="s">
        <v>96</v>
      </c>
      <c r="X44" t="s">
        <v>97</v>
      </c>
      <c r="Y44" t="s">
        <v>97</v>
      </c>
      <c r="Z44" t="s">
        <v>96</v>
      </c>
      <c r="AA44" t="s">
        <v>22</v>
      </c>
      <c r="AB44" t="s">
        <v>19</v>
      </c>
      <c r="AC44" t="s">
        <v>23</v>
      </c>
    </row>
    <row r="45" spans="1:29" ht="12.75" x14ac:dyDescent="0.2">
      <c r="A45" t="s">
        <v>14</v>
      </c>
      <c r="B45" t="s">
        <v>29</v>
      </c>
      <c r="C45" t="s">
        <v>62</v>
      </c>
      <c r="D45" t="s">
        <v>17</v>
      </c>
      <c r="E45" t="s">
        <v>96</v>
      </c>
      <c r="F45" t="s">
        <v>96</v>
      </c>
      <c r="G45" t="s">
        <v>97</v>
      </c>
      <c r="H45" t="s">
        <v>97</v>
      </c>
      <c r="I45" t="s">
        <v>97</v>
      </c>
      <c r="J45" t="s">
        <v>96</v>
      </c>
      <c r="K45" t="s">
        <v>96</v>
      </c>
      <c r="L45" t="s">
        <v>97</v>
      </c>
      <c r="M45" t="s">
        <v>97</v>
      </c>
      <c r="N45" t="s">
        <v>96</v>
      </c>
      <c r="O45" t="s">
        <v>23</v>
      </c>
      <c r="P45" t="s">
        <v>23</v>
      </c>
      <c r="Q45" t="s">
        <v>18</v>
      </c>
      <c r="R45" t="s">
        <v>18</v>
      </c>
      <c r="S45" t="s">
        <v>98</v>
      </c>
      <c r="T45" t="s">
        <v>23</v>
      </c>
      <c r="U45" t="s">
        <v>21</v>
      </c>
      <c r="V45" t="s">
        <v>96</v>
      </c>
      <c r="W45" t="s">
        <v>96</v>
      </c>
      <c r="X45" t="s">
        <v>97</v>
      </c>
      <c r="Y45" t="s">
        <v>97</v>
      </c>
      <c r="Z45" t="s">
        <v>96</v>
      </c>
      <c r="AA45" t="s">
        <v>22</v>
      </c>
      <c r="AB45" t="s">
        <v>23</v>
      </c>
      <c r="AC45" t="s">
        <v>23</v>
      </c>
    </row>
    <row r="46" spans="1:29" ht="12.75" x14ac:dyDescent="0.2">
      <c r="A46" t="s">
        <v>14</v>
      </c>
      <c r="B46" t="s">
        <v>29</v>
      </c>
      <c r="C46" t="s">
        <v>51</v>
      </c>
      <c r="D46" t="s">
        <v>39</v>
      </c>
      <c r="E46" t="s">
        <v>96</v>
      </c>
      <c r="F46" t="s">
        <v>96</v>
      </c>
      <c r="G46" t="s">
        <v>97</v>
      </c>
      <c r="H46" t="s">
        <v>97</v>
      </c>
      <c r="I46" t="s">
        <v>97</v>
      </c>
      <c r="J46" t="s">
        <v>96</v>
      </c>
      <c r="K46" t="s">
        <v>96</v>
      </c>
      <c r="L46" t="s">
        <v>96</v>
      </c>
      <c r="M46" t="s">
        <v>96</v>
      </c>
      <c r="N46" t="s">
        <v>96</v>
      </c>
      <c r="O46" t="s">
        <v>18</v>
      </c>
      <c r="P46" t="s">
        <v>18</v>
      </c>
      <c r="Q46" t="s">
        <v>18</v>
      </c>
      <c r="R46" t="s">
        <v>18</v>
      </c>
      <c r="S46" t="s">
        <v>20</v>
      </c>
      <c r="T46" t="s">
        <v>18</v>
      </c>
      <c r="U46" t="s">
        <v>21</v>
      </c>
      <c r="V46" t="s">
        <v>96</v>
      </c>
      <c r="W46" t="s">
        <v>97</v>
      </c>
      <c r="X46" t="s">
        <v>97</v>
      </c>
      <c r="Y46" t="s">
        <v>97</v>
      </c>
      <c r="Z46" t="s">
        <v>96</v>
      </c>
      <c r="AA46" t="s">
        <v>22</v>
      </c>
      <c r="AB46" t="s">
        <v>23</v>
      </c>
      <c r="AC46" t="s">
        <v>23</v>
      </c>
    </row>
    <row r="47" spans="1:29" ht="12.75" x14ac:dyDescent="0.2">
      <c r="A47" t="s">
        <v>14</v>
      </c>
      <c r="B47" t="s">
        <v>29</v>
      </c>
      <c r="C47" t="s">
        <v>51</v>
      </c>
      <c r="D47" t="s">
        <v>39</v>
      </c>
      <c r="E47" t="s">
        <v>97</v>
      </c>
      <c r="F47" t="s">
        <v>96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96</v>
      </c>
      <c r="M47" t="s">
        <v>97</v>
      </c>
      <c r="N47" t="s">
        <v>97</v>
      </c>
      <c r="O47" t="s">
        <v>18</v>
      </c>
      <c r="P47" t="s">
        <v>18</v>
      </c>
      <c r="Q47" t="s">
        <v>18</v>
      </c>
      <c r="R47" t="s">
        <v>18</v>
      </c>
      <c r="S47" t="s">
        <v>20</v>
      </c>
      <c r="T47" t="s">
        <v>18</v>
      </c>
      <c r="U47" t="s">
        <v>32</v>
      </c>
      <c r="V47" t="s">
        <v>97</v>
      </c>
      <c r="W47" t="s">
        <v>97</v>
      </c>
      <c r="X47" t="s">
        <v>97</v>
      </c>
      <c r="Y47" t="s">
        <v>97</v>
      </c>
      <c r="Z47" t="s">
        <v>96</v>
      </c>
      <c r="AA47" t="s">
        <v>22</v>
      </c>
      <c r="AB47" t="s">
        <v>23</v>
      </c>
      <c r="AC47" t="s">
        <v>23</v>
      </c>
    </row>
    <row r="48" spans="1:29" ht="12.75" x14ac:dyDescent="0.2">
      <c r="A48" t="s">
        <v>14</v>
      </c>
      <c r="B48" t="s">
        <v>15</v>
      </c>
      <c r="C48" t="s">
        <v>57</v>
      </c>
      <c r="D48" t="s">
        <v>61</v>
      </c>
      <c r="E48" t="s">
        <v>97</v>
      </c>
      <c r="F48" t="s">
        <v>96</v>
      </c>
      <c r="G48" t="s">
        <v>97</v>
      </c>
      <c r="H48" t="s">
        <v>97</v>
      </c>
      <c r="I48" t="s">
        <v>97</v>
      </c>
      <c r="J48" t="s">
        <v>96</v>
      </c>
      <c r="K48" t="s">
        <v>97</v>
      </c>
      <c r="L48" t="s">
        <v>97</v>
      </c>
      <c r="M48" t="s">
        <v>97</v>
      </c>
      <c r="N48" t="s">
        <v>96</v>
      </c>
      <c r="O48" t="s">
        <v>18</v>
      </c>
      <c r="P48" t="s">
        <v>18</v>
      </c>
      <c r="Q48" t="s">
        <v>18</v>
      </c>
      <c r="R48" t="s">
        <v>18</v>
      </c>
      <c r="S48" t="s">
        <v>98</v>
      </c>
      <c r="T48" t="s">
        <v>18</v>
      </c>
      <c r="U48" t="s">
        <v>21</v>
      </c>
      <c r="V48" t="s">
        <v>97</v>
      </c>
      <c r="W48" t="s">
        <v>97</v>
      </c>
      <c r="X48" t="s">
        <v>97</v>
      </c>
      <c r="Y48" t="s">
        <v>97</v>
      </c>
      <c r="Z48" t="s">
        <v>96</v>
      </c>
      <c r="AA48" t="s">
        <v>55</v>
      </c>
      <c r="AB48" t="s">
        <v>23</v>
      </c>
      <c r="AC48" t="s">
        <v>23</v>
      </c>
    </row>
    <row r="49" spans="1:29" ht="12.75" x14ac:dyDescent="0.2">
      <c r="A49" t="s">
        <v>14</v>
      </c>
      <c r="B49" t="s">
        <v>29</v>
      </c>
      <c r="C49" t="s">
        <v>60</v>
      </c>
      <c r="D49" t="s">
        <v>17</v>
      </c>
      <c r="E49" t="s">
        <v>96</v>
      </c>
      <c r="F49" t="s">
        <v>96</v>
      </c>
      <c r="G49" t="s">
        <v>97</v>
      </c>
      <c r="H49" t="s">
        <v>97</v>
      </c>
      <c r="I49" t="s">
        <v>97</v>
      </c>
      <c r="J49" t="s">
        <v>96</v>
      </c>
      <c r="K49" t="s">
        <v>96</v>
      </c>
      <c r="L49" t="s">
        <v>96</v>
      </c>
      <c r="M49" t="s">
        <v>96</v>
      </c>
      <c r="N49" t="s">
        <v>96</v>
      </c>
      <c r="O49" t="s">
        <v>18</v>
      </c>
      <c r="P49" t="s">
        <v>18</v>
      </c>
      <c r="Q49" t="s">
        <v>18</v>
      </c>
      <c r="R49" t="s">
        <v>18</v>
      </c>
      <c r="S49" t="s">
        <v>20</v>
      </c>
      <c r="T49" t="s">
        <v>18</v>
      </c>
      <c r="U49" t="s">
        <v>21</v>
      </c>
      <c r="V49" t="s">
        <v>96</v>
      </c>
      <c r="W49" t="s">
        <v>97</v>
      </c>
      <c r="X49" t="s">
        <v>97</v>
      </c>
      <c r="Y49" t="s">
        <v>97</v>
      </c>
      <c r="Z49" t="s">
        <v>97</v>
      </c>
      <c r="AA49" t="s">
        <v>22</v>
      </c>
      <c r="AB49" t="s">
        <v>19</v>
      </c>
      <c r="AC49" t="s">
        <v>23</v>
      </c>
    </row>
    <row r="50" spans="1:29" ht="12.75" x14ac:dyDescent="0.2">
      <c r="A50" t="s">
        <v>27</v>
      </c>
      <c r="B50" t="s">
        <v>29</v>
      </c>
      <c r="C50" t="s">
        <v>66</v>
      </c>
      <c r="D50" t="s">
        <v>17</v>
      </c>
      <c r="E50" t="s">
        <v>96</v>
      </c>
      <c r="F50" t="s">
        <v>96</v>
      </c>
      <c r="G50" t="s">
        <v>97</v>
      </c>
      <c r="H50" t="s">
        <v>97</v>
      </c>
      <c r="I50" t="s">
        <v>97</v>
      </c>
      <c r="J50" t="s">
        <v>96</v>
      </c>
      <c r="K50" t="s">
        <v>97</v>
      </c>
      <c r="L50" t="s">
        <v>97</v>
      </c>
      <c r="M50" t="s">
        <v>97</v>
      </c>
      <c r="N50" t="s">
        <v>97</v>
      </c>
      <c r="O50" t="s">
        <v>18</v>
      </c>
      <c r="P50" t="s">
        <v>18</v>
      </c>
      <c r="Q50" t="s">
        <v>18</v>
      </c>
      <c r="R50" t="s">
        <v>18</v>
      </c>
      <c r="S50" t="s">
        <v>98</v>
      </c>
      <c r="T50" t="s">
        <v>18</v>
      </c>
      <c r="U50" t="s">
        <v>21</v>
      </c>
      <c r="V50" t="s">
        <v>96</v>
      </c>
      <c r="W50" t="s">
        <v>97</v>
      </c>
      <c r="X50" t="s">
        <v>97</v>
      </c>
      <c r="Y50" t="s">
        <v>97</v>
      </c>
      <c r="Z50" t="s">
        <v>96</v>
      </c>
      <c r="AA50" t="s">
        <v>22</v>
      </c>
      <c r="AB50" t="s">
        <v>23</v>
      </c>
      <c r="AC50" t="s">
        <v>23</v>
      </c>
    </row>
    <row r="51" spans="1:29" ht="12.75" x14ac:dyDescent="0.2">
      <c r="A51" t="s">
        <v>14</v>
      </c>
      <c r="B51" t="s">
        <v>29</v>
      </c>
      <c r="C51" t="s">
        <v>62</v>
      </c>
      <c r="D51" t="s">
        <v>39</v>
      </c>
      <c r="E51" t="s">
        <v>96</v>
      </c>
      <c r="F51" t="s">
        <v>96</v>
      </c>
      <c r="G51" t="s">
        <v>97</v>
      </c>
      <c r="H51" t="s">
        <v>97</v>
      </c>
      <c r="I51" t="s">
        <v>97</v>
      </c>
      <c r="J51" t="s">
        <v>97</v>
      </c>
      <c r="K51" t="s">
        <v>97</v>
      </c>
      <c r="L51" t="s">
        <v>96</v>
      </c>
      <c r="M51" t="s">
        <v>97</v>
      </c>
      <c r="N51" t="s">
        <v>97</v>
      </c>
      <c r="O51" t="s">
        <v>18</v>
      </c>
      <c r="P51" t="s">
        <v>19</v>
      </c>
      <c r="Q51" t="s">
        <v>18</v>
      </c>
      <c r="R51" t="s">
        <v>18</v>
      </c>
      <c r="S51" t="s">
        <v>20</v>
      </c>
      <c r="T51" t="s">
        <v>18</v>
      </c>
      <c r="U51" t="s">
        <v>32</v>
      </c>
      <c r="V51" t="s">
        <v>96</v>
      </c>
      <c r="W51" t="s">
        <v>97</v>
      </c>
      <c r="X51" t="s">
        <v>97</v>
      </c>
      <c r="Y51" t="s">
        <v>97</v>
      </c>
      <c r="Z51" t="s">
        <v>97</v>
      </c>
      <c r="AA51" t="s">
        <v>22</v>
      </c>
      <c r="AB51" t="s">
        <v>23</v>
      </c>
      <c r="AC51" t="s">
        <v>23</v>
      </c>
    </row>
    <row r="52" spans="1:29" ht="12.75" x14ac:dyDescent="0.2">
      <c r="A52" t="s">
        <v>43</v>
      </c>
      <c r="B52" t="s">
        <v>29</v>
      </c>
      <c r="C52" t="s">
        <v>31</v>
      </c>
      <c r="D52" t="s">
        <v>17</v>
      </c>
      <c r="E52" t="s">
        <v>97</v>
      </c>
      <c r="F52" t="s">
        <v>96</v>
      </c>
      <c r="G52" t="s">
        <v>97</v>
      </c>
      <c r="H52" t="s">
        <v>97</v>
      </c>
      <c r="I52" t="s">
        <v>97</v>
      </c>
      <c r="J52" t="s">
        <v>97</v>
      </c>
      <c r="K52" t="s">
        <v>96</v>
      </c>
      <c r="L52" t="s">
        <v>96</v>
      </c>
      <c r="M52" t="s">
        <v>97</v>
      </c>
      <c r="N52" t="s">
        <v>96</v>
      </c>
      <c r="O52" t="s">
        <v>18</v>
      </c>
      <c r="P52" t="s">
        <v>18</v>
      </c>
      <c r="Q52" t="s">
        <v>18</v>
      </c>
      <c r="R52" t="s">
        <v>18</v>
      </c>
      <c r="S52" t="s">
        <v>98</v>
      </c>
      <c r="T52" t="s">
        <v>18</v>
      </c>
      <c r="U52" t="s">
        <v>32</v>
      </c>
      <c r="V52" t="s">
        <v>97</v>
      </c>
      <c r="W52" t="s">
        <v>97</v>
      </c>
      <c r="X52" t="s">
        <v>97</v>
      </c>
      <c r="Y52" t="s">
        <v>97</v>
      </c>
      <c r="Z52" t="s">
        <v>96</v>
      </c>
      <c r="AA52" t="s">
        <v>22</v>
      </c>
      <c r="AB52" t="s">
        <v>18</v>
      </c>
      <c r="AC52" t="s">
        <v>23</v>
      </c>
    </row>
    <row r="53" spans="1:29" ht="12.75" x14ac:dyDescent="0.2">
      <c r="A53" t="s">
        <v>14</v>
      </c>
      <c r="B53" t="s">
        <v>29</v>
      </c>
      <c r="C53" t="s">
        <v>35</v>
      </c>
      <c r="D53" t="s">
        <v>17</v>
      </c>
      <c r="E53" t="s">
        <v>96</v>
      </c>
      <c r="F53" t="s">
        <v>96</v>
      </c>
      <c r="G53" t="s">
        <v>97</v>
      </c>
      <c r="H53" t="s">
        <v>97</v>
      </c>
      <c r="I53" t="s">
        <v>97</v>
      </c>
      <c r="J53" t="s">
        <v>97</v>
      </c>
      <c r="K53" t="s">
        <v>96</v>
      </c>
      <c r="L53" t="s">
        <v>96</v>
      </c>
      <c r="M53" t="s">
        <v>96</v>
      </c>
      <c r="N53" t="s">
        <v>96</v>
      </c>
      <c r="O53" t="s">
        <v>23</v>
      </c>
      <c r="P53" t="s">
        <v>23</v>
      </c>
      <c r="Q53" t="s">
        <v>18</v>
      </c>
      <c r="R53" t="s">
        <v>23</v>
      </c>
      <c r="S53" t="s">
        <v>34</v>
      </c>
      <c r="T53" t="s">
        <v>18</v>
      </c>
      <c r="U53" t="s">
        <v>32</v>
      </c>
      <c r="V53" t="s">
        <v>97</v>
      </c>
      <c r="W53" t="s">
        <v>97</v>
      </c>
      <c r="X53" t="s">
        <v>97</v>
      </c>
      <c r="Y53" t="s">
        <v>97</v>
      </c>
      <c r="Z53" t="s">
        <v>96</v>
      </c>
      <c r="AA53" t="s">
        <v>22</v>
      </c>
      <c r="AB53" t="s">
        <v>23</v>
      </c>
      <c r="AC53" t="s">
        <v>23</v>
      </c>
    </row>
    <row r="54" spans="1:29" ht="12.75" x14ac:dyDescent="0.2">
      <c r="A54" t="s">
        <v>14</v>
      </c>
      <c r="B54" t="s">
        <v>15</v>
      </c>
      <c r="C54" t="s">
        <v>57</v>
      </c>
      <c r="D54" t="s">
        <v>61</v>
      </c>
      <c r="E54" t="s">
        <v>96</v>
      </c>
      <c r="F54" t="s">
        <v>96</v>
      </c>
      <c r="G54" t="s">
        <v>97</v>
      </c>
      <c r="H54" t="s">
        <v>97</v>
      </c>
      <c r="I54" t="s">
        <v>97</v>
      </c>
      <c r="J54" t="s">
        <v>96</v>
      </c>
      <c r="K54" t="s">
        <v>97</v>
      </c>
      <c r="L54" t="s">
        <v>97</v>
      </c>
      <c r="M54" t="s">
        <v>97</v>
      </c>
      <c r="N54" t="s">
        <v>97</v>
      </c>
      <c r="O54" t="s">
        <v>18</v>
      </c>
      <c r="P54" t="s">
        <v>23</v>
      </c>
      <c r="Q54" t="s">
        <v>18</v>
      </c>
      <c r="R54" t="s">
        <v>23</v>
      </c>
      <c r="S54" t="s">
        <v>26</v>
      </c>
      <c r="T54" t="s">
        <v>23</v>
      </c>
      <c r="U54" t="s">
        <v>32</v>
      </c>
      <c r="V54" t="s">
        <v>96</v>
      </c>
      <c r="W54" t="s">
        <v>97</v>
      </c>
      <c r="X54" t="s">
        <v>97</v>
      </c>
      <c r="Y54" t="s">
        <v>97</v>
      </c>
      <c r="Z54" t="s">
        <v>96</v>
      </c>
      <c r="AA54" t="s">
        <v>22</v>
      </c>
      <c r="AB54" t="s">
        <v>23</v>
      </c>
      <c r="AC54" t="s">
        <v>23</v>
      </c>
    </row>
    <row r="55" spans="1:29" ht="12.75" x14ac:dyDescent="0.2">
      <c r="A55" t="s">
        <v>14</v>
      </c>
      <c r="B55" t="s">
        <v>29</v>
      </c>
      <c r="C55" t="s">
        <v>67</v>
      </c>
      <c r="D55" t="s">
        <v>17</v>
      </c>
      <c r="E55" t="s">
        <v>97</v>
      </c>
      <c r="F55" t="s">
        <v>96</v>
      </c>
      <c r="G55" t="s">
        <v>97</v>
      </c>
      <c r="H55" t="s">
        <v>96</v>
      </c>
      <c r="I55" t="s">
        <v>97</v>
      </c>
      <c r="J55" t="s">
        <v>96</v>
      </c>
      <c r="K55" t="s">
        <v>96</v>
      </c>
      <c r="L55" t="s">
        <v>96</v>
      </c>
      <c r="M55" t="s">
        <v>96</v>
      </c>
      <c r="N55" t="s">
        <v>96</v>
      </c>
      <c r="O55" t="s">
        <v>18</v>
      </c>
      <c r="P55" t="s">
        <v>19</v>
      </c>
      <c r="Q55" t="s">
        <v>23</v>
      </c>
      <c r="R55" t="s">
        <v>23</v>
      </c>
      <c r="S55" t="s">
        <v>34</v>
      </c>
      <c r="T55" t="s">
        <v>23</v>
      </c>
      <c r="U55" t="s">
        <v>32</v>
      </c>
      <c r="V55" t="s">
        <v>96</v>
      </c>
      <c r="W55" t="s">
        <v>97</v>
      </c>
      <c r="X55" t="s">
        <v>97</v>
      </c>
      <c r="Y55" t="s">
        <v>96</v>
      </c>
      <c r="Z55" t="s">
        <v>96</v>
      </c>
      <c r="AA55" t="s">
        <v>47</v>
      </c>
      <c r="AB55" t="s">
        <v>23</v>
      </c>
      <c r="AC55" t="s">
        <v>23</v>
      </c>
    </row>
    <row r="56" spans="1:29" ht="12.75" x14ac:dyDescent="0.2">
      <c r="A56" t="s">
        <v>43</v>
      </c>
      <c r="B56" t="s">
        <v>29</v>
      </c>
      <c r="C56" t="s">
        <v>41</v>
      </c>
      <c r="D56" t="s">
        <v>17</v>
      </c>
      <c r="E56" t="s">
        <v>96</v>
      </c>
      <c r="F56" t="s">
        <v>97</v>
      </c>
      <c r="G56" t="s">
        <v>97</v>
      </c>
      <c r="H56" t="s">
        <v>97</v>
      </c>
      <c r="I56" t="s">
        <v>97</v>
      </c>
      <c r="J56" t="s">
        <v>96</v>
      </c>
      <c r="K56" t="s">
        <v>96</v>
      </c>
      <c r="L56" t="s">
        <v>96</v>
      </c>
      <c r="M56" t="s">
        <v>96</v>
      </c>
      <c r="N56" t="s">
        <v>96</v>
      </c>
      <c r="O56" t="s">
        <v>18</v>
      </c>
      <c r="P56" t="s">
        <v>18</v>
      </c>
      <c r="Q56" t="s">
        <v>23</v>
      </c>
      <c r="R56" t="s">
        <v>18</v>
      </c>
      <c r="S56" t="s">
        <v>20</v>
      </c>
      <c r="T56" t="s">
        <v>18</v>
      </c>
      <c r="U56" t="s">
        <v>32</v>
      </c>
      <c r="V56" t="s">
        <v>97</v>
      </c>
      <c r="W56" t="s">
        <v>97</v>
      </c>
      <c r="X56" t="s">
        <v>97</v>
      </c>
      <c r="Y56" t="s">
        <v>97</v>
      </c>
      <c r="Z56" t="s">
        <v>96</v>
      </c>
      <c r="AA56" t="s">
        <v>47</v>
      </c>
      <c r="AB56" t="s">
        <v>23</v>
      </c>
      <c r="AC56" t="s">
        <v>23</v>
      </c>
    </row>
    <row r="57" spans="1:29" ht="12.75" x14ac:dyDescent="0.2">
      <c r="A57" t="s">
        <v>43</v>
      </c>
      <c r="B57" t="s">
        <v>29</v>
      </c>
      <c r="C57" t="s">
        <v>41</v>
      </c>
      <c r="D57" t="s">
        <v>17</v>
      </c>
      <c r="E57" t="s">
        <v>97</v>
      </c>
      <c r="F57" t="s">
        <v>96</v>
      </c>
      <c r="G57" t="s">
        <v>97</v>
      </c>
      <c r="H57" t="s">
        <v>97</v>
      </c>
      <c r="I57" t="s">
        <v>97</v>
      </c>
      <c r="J57" t="s">
        <v>97</v>
      </c>
      <c r="K57" t="s">
        <v>96</v>
      </c>
      <c r="L57" t="s">
        <v>96</v>
      </c>
      <c r="M57" t="s">
        <v>96</v>
      </c>
      <c r="N57" t="s">
        <v>96</v>
      </c>
      <c r="O57" t="s">
        <v>18</v>
      </c>
      <c r="P57" t="s">
        <v>19</v>
      </c>
      <c r="Q57" t="s">
        <v>18</v>
      </c>
      <c r="R57" t="s">
        <v>18</v>
      </c>
      <c r="S57" t="s">
        <v>20</v>
      </c>
      <c r="T57" t="s">
        <v>18</v>
      </c>
      <c r="U57" t="s">
        <v>32</v>
      </c>
      <c r="V57" t="s">
        <v>96</v>
      </c>
      <c r="W57" t="s">
        <v>97</v>
      </c>
      <c r="X57" t="s">
        <v>97</v>
      </c>
      <c r="Y57" t="s">
        <v>97</v>
      </c>
      <c r="Z57" t="s">
        <v>96</v>
      </c>
      <c r="AA57" t="s">
        <v>22</v>
      </c>
      <c r="AB57" t="s">
        <v>23</v>
      </c>
      <c r="AC57" t="s">
        <v>23</v>
      </c>
    </row>
    <row r="58" spans="1:29" ht="12.75" x14ac:dyDescent="0.2">
      <c r="A58" t="s">
        <v>14</v>
      </c>
      <c r="B58" t="s">
        <v>15</v>
      </c>
      <c r="C58" t="s">
        <v>51</v>
      </c>
      <c r="D58" t="s">
        <v>17</v>
      </c>
      <c r="E58" t="s">
        <v>96</v>
      </c>
      <c r="F58" t="s">
        <v>96</v>
      </c>
      <c r="G58" t="s">
        <v>97</v>
      </c>
      <c r="H58" t="s">
        <v>97</v>
      </c>
      <c r="I58" t="s">
        <v>97</v>
      </c>
      <c r="J58" t="s">
        <v>96</v>
      </c>
      <c r="K58" t="s">
        <v>96</v>
      </c>
      <c r="L58" t="s">
        <v>97</v>
      </c>
      <c r="M58" t="s">
        <v>97</v>
      </c>
      <c r="N58" t="s">
        <v>97</v>
      </c>
      <c r="O58" t="s">
        <v>18</v>
      </c>
      <c r="P58" t="s">
        <v>23</v>
      </c>
      <c r="Q58" t="s">
        <v>18</v>
      </c>
      <c r="R58" t="s">
        <v>18</v>
      </c>
      <c r="S58" t="s">
        <v>20</v>
      </c>
      <c r="T58" t="s">
        <v>18</v>
      </c>
      <c r="U58" t="s">
        <v>32</v>
      </c>
      <c r="V58" t="s">
        <v>96</v>
      </c>
      <c r="W58" t="s">
        <v>97</v>
      </c>
      <c r="X58" t="s">
        <v>97</v>
      </c>
      <c r="Y58" t="s">
        <v>97</v>
      </c>
      <c r="Z58" t="s">
        <v>96</v>
      </c>
      <c r="AA58" t="s">
        <v>22</v>
      </c>
      <c r="AB58" t="s">
        <v>23</v>
      </c>
      <c r="AC58" t="s">
        <v>23</v>
      </c>
    </row>
    <row r="59" spans="1:29" ht="12.75" x14ac:dyDescent="0.2">
      <c r="A59" t="s">
        <v>14</v>
      </c>
      <c r="B59" t="s">
        <v>15</v>
      </c>
      <c r="C59" t="s">
        <v>51</v>
      </c>
      <c r="D59" t="s">
        <v>17</v>
      </c>
      <c r="E59" t="s">
        <v>96</v>
      </c>
      <c r="F59" t="s">
        <v>96</v>
      </c>
      <c r="G59" t="s">
        <v>97</v>
      </c>
      <c r="H59" t="s">
        <v>97</v>
      </c>
      <c r="I59" t="s">
        <v>97</v>
      </c>
      <c r="J59" t="s">
        <v>96</v>
      </c>
      <c r="K59" t="s">
        <v>97</v>
      </c>
      <c r="L59" t="s">
        <v>97</v>
      </c>
      <c r="M59" t="s">
        <v>97</v>
      </c>
      <c r="N59" t="s">
        <v>97</v>
      </c>
      <c r="O59" t="s">
        <v>23</v>
      </c>
      <c r="P59" t="s">
        <v>23</v>
      </c>
      <c r="Q59" t="s">
        <v>18</v>
      </c>
      <c r="R59" t="s">
        <v>18</v>
      </c>
      <c r="S59" t="s">
        <v>20</v>
      </c>
      <c r="T59" t="s">
        <v>18</v>
      </c>
      <c r="U59" t="s">
        <v>21</v>
      </c>
      <c r="V59" t="s">
        <v>96</v>
      </c>
      <c r="W59" t="s">
        <v>97</v>
      </c>
      <c r="X59" t="s">
        <v>96</v>
      </c>
      <c r="Y59" t="s">
        <v>97</v>
      </c>
      <c r="Z59" t="s">
        <v>96</v>
      </c>
      <c r="AA59" t="s">
        <v>47</v>
      </c>
      <c r="AB59" t="s">
        <v>18</v>
      </c>
      <c r="AC59" t="s">
        <v>23</v>
      </c>
    </row>
    <row r="60" spans="1:29" ht="12.75" x14ac:dyDescent="0.2">
      <c r="A60" t="s">
        <v>14</v>
      </c>
      <c r="B60" t="s">
        <v>29</v>
      </c>
      <c r="C60" t="s">
        <v>68</v>
      </c>
      <c r="D60" t="s">
        <v>17</v>
      </c>
      <c r="E60" t="s">
        <v>97</v>
      </c>
      <c r="F60" t="s">
        <v>96</v>
      </c>
      <c r="G60" t="s">
        <v>97</v>
      </c>
      <c r="H60" t="s">
        <v>97</v>
      </c>
      <c r="I60" t="s">
        <v>97</v>
      </c>
      <c r="J60" t="s">
        <v>97</v>
      </c>
      <c r="K60" t="s">
        <v>97</v>
      </c>
      <c r="L60" t="s">
        <v>97</v>
      </c>
      <c r="M60" t="s">
        <v>97</v>
      </c>
      <c r="N60" t="s">
        <v>96</v>
      </c>
      <c r="O60" t="s">
        <v>18</v>
      </c>
      <c r="P60" t="s">
        <v>18</v>
      </c>
      <c r="Q60" t="s">
        <v>18</v>
      </c>
      <c r="R60" t="s">
        <v>18</v>
      </c>
      <c r="S60" t="s">
        <v>98</v>
      </c>
      <c r="T60" t="s">
        <v>19</v>
      </c>
      <c r="U60" t="s">
        <v>21</v>
      </c>
      <c r="V60" t="s">
        <v>96</v>
      </c>
      <c r="W60" t="s">
        <v>97</v>
      </c>
      <c r="X60" t="s">
        <v>97</v>
      </c>
      <c r="Y60" t="s">
        <v>97</v>
      </c>
      <c r="Z60" t="s">
        <v>96</v>
      </c>
      <c r="AA60" t="s">
        <v>22</v>
      </c>
      <c r="AB60" t="s">
        <v>23</v>
      </c>
      <c r="AC60" t="s">
        <v>23</v>
      </c>
    </row>
    <row r="61" spans="1:29" ht="12.75" x14ac:dyDescent="0.2">
      <c r="A61" t="s">
        <v>27</v>
      </c>
      <c r="B61" t="s">
        <v>15</v>
      </c>
      <c r="C61" t="s">
        <v>35</v>
      </c>
      <c r="D61" t="s">
        <v>17</v>
      </c>
      <c r="E61" t="s">
        <v>96</v>
      </c>
      <c r="F61" t="s">
        <v>97</v>
      </c>
      <c r="G61" t="s">
        <v>97</v>
      </c>
      <c r="H61" t="s">
        <v>97</v>
      </c>
      <c r="I61" t="s">
        <v>97</v>
      </c>
      <c r="J61" t="s">
        <v>97</v>
      </c>
      <c r="K61" t="s">
        <v>96</v>
      </c>
      <c r="L61" t="s">
        <v>97</v>
      </c>
      <c r="M61" t="s">
        <v>97</v>
      </c>
      <c r="N61" t="s">
        <v>97</v>
      </c>
      <c r="O61" t="s">
        <v>18</v>
      </c>
      <c r="P61" t="s">
        <v>18</v>
      </c>
      <c r="Q61" t="s">
        <v>18</v>
      </c>
      <c r="R61" t="s">
        <v>18</v>
      </c>
      <c r="S61" t="s">
        <v>20</v>
      </c>
      <c r="T61" t="s">
        <v>18</v>
      </c>
      <c r="U61" t="s">
        <v>21</v>
      </c>
      <c r="V61" t="s">
        <v>96</v>
      </c>
      <c r="W61" t="s">
        <v>97</v>
      </c>
      <c r="X61" t="s">
        <v>97</v>
      </c>
      <c r="Y61" t="s">
        <v>97</v>
      </c>
      <c r="Z61" t="s">
        <v>97</v>
      </c>
      <c r="AA61" t="s">
        <v>22</v>
      </c>
      <c r="AB61" t="s">
        <v>23</v>
      </c>
      <c r="AC61" t="s">
        <v>23</v>
      </c>
    </row>
    <row r="62" spans="1:29" ht="12.75" x14ac:dyDescent="0.2">
      <c r="A62" t="s">
        <v>27</v>
      </c>
      <c r="B62" t="s">
        <v>29</v>
      </c>
      <c r="C62" t="s">
        <v>69</v>
      </c>
      <c r="D62" t="s">
        <v>17</v>
      </c>
      <c r="E62" t="s">
        <v>96</v>
      </c>
      <c r="F62" t="s">
        <v>96</v>
      </c>
      <c r="G62" t="s">
        <v>97</v>
      </c>
      <c r="H62" t="s">
        <v>97</v>
      </c>
      <c r="I62" t="s">
        <v>97</v>
      </c>
      <c r="J62" t="s">
        <v>97</v>
      </c>
      <c r="K62" t="s">
        <v>97</v>
      </c>
      <c r="L62" t="s">
        <v>96</v>
      </c>
      <c r="M62" t="s">
        <v>96</v>
      </c>
      <c r="N62" t="s">
        <v>96</v>
      </c>
      <c r="O62" t="s">
        <v>18</v>
      </c>
      <c r="P62" t="s">
        <v>18</v>
      </c>
      <c r="Q62" t="s">
        <v>23</v>
      </c>
      <c r="R62" t="s">
        <v>18</v>
      </c>
      <c r="S62" t="s">
        <v>20</v>
      </c>
      <c r="T62" t="s">
        <v>23</v>
      </c>
      <c r="U62" t="s">
        <v>32</v>
      </c>
      <c r="V62" t="s">
        <v>96</v>
      </c>
      <c r="W62" t="s">
        <v>97</v>
      </c>
      <c r="X62" t="s">
        <v>97</v>
      </c>
      <c r="Y62" t="s">
        <v>97</v>
      </c>
      <c r="Z62" t="s">
        <v>96</v>
      </c>
      <c r="AA62" t="s">
        <v>22</v>
      </c>
      <c r="AB62" t="s">
        <v>18</v>
      </c>
      <c r="AC62" t="s">
        <v>18</v>
      </c>
    </row>
    <row r="63" spans="1:29" ht="12.75" x14ac:dyDescent="0.2">
      <c r="A63" t="s">
        <v>14</v>
      </c>
      <c r="B63" t="s">
        <v>29</v>
      </c>
      <c r="C63" t="s">
        <v>70</v>
      </c>
      <c r="D63" t="s">
        <v>61</v>
      </c>
      <c r="E63" t="s">
        <v>97</v>
      </c>
      <c r="F63" t="s">
        <v>96</v>
      </c>
      <c r="G63" t="s">
        <v>97</v>
      </c>
      <c r="H63" t="s">
        <v>97</v>
      </c>
      <c r="I63" t="s">
        <v>97</v>
      </c>
      <c r="J63" t="s">
        <v>97</v>
      </c>
      <c r="K63" t="s">
        <v>96</v>
      </c>
      <c r="L63" t="s">
        <v>97</v>
      </c>
      <c r="M63" t="s">
        <v>97</v>
      </c>
      <c r="N63" t="s">
        <v>97</v>
      </c>
      <c r="O63" t="s">
        <v>18</v>
      </c>
      <c r="P63" t="s">
        <v>18</v>
      </c>
      <c r="Q63" t="s">
        <v>18</v>
      </c>
      <c r="R63" t="s">
        <v>18</v>
      </c>
      <c r="S63" t="s">
        <v>98</v>
      </c>
      <c r="T63" t="s">
        <v>18</v>
      </c>
      <c r="U63" t="s">
        <v>21</v>
      </c>
      <c r="V63" t="s">
        <v>97</v>
      </c>
      <c r="W63" t="s">
        <v>97</v>
      </c>
      <c r="X63" t="s">
        <v>97</v>
      </c>
      <c r="Y63" t="s">
        <v>97</v>
      </c>
      <c r="Z63" t="s">
        <v>96</v>
      </c>
      <c r="AA63" t="s">
        <v>22</v>
      </c>
      <c r="AB63" t="s">
        <v>23</v>
      </c>
      <c r="AC63" t="s">
        <v>23</v>
      </c>
    </row>
    <row r="64" spans="1:29" ht="12.75" x14ac:dyDescent="0.2">
      <c r="A64" t="s">
        <v>27</v>
      </c>
      <c r="B64" t="s">
        <v>29</v>
      </c>
      <c r="C64" t="s">
        <v>71</v>
      </c>
      <c r="D64" t="s">
        <v>17</v>
      </c>
      <c r="E64" t="s">
        <v>97</v>
      </c>
      <c r="F64" t="s">
        <v>96</v>
      </c>
      <c r="G64" t="s">
        <v>97</v>
      </c>
      <c r="H64" t="s">
        <v>96</v>
      </c>
      <c r="I64" t="s">
        <v>97</v>
      </c>
      <c r="J64" t="s">
        <v>96</v>
      </c>
      <c r="K64" t="s">
        <v>96</v>
      </c>
      <c r="L64" t="s">
        <v>97</v>
      </c>
      <c r="M64" t="s">
        <v>96</v>
      </c>
      <c r="N64" t="s">
        <v>97</v>
      </c>
      <c r="O64" t="s">
        <v>18</v>
      </c>
      <c r="P64" t="s">
        <v>19</v>
      </c>
      <c r="Q64" t="s">
        <v>23</v>
      </c>
      <c r="R64" t="s">
        <v>18</v>
      </c>
      <c r="S64" t="s">
        <v>20</v>
      </c>
      <c r="T64" t="s">
        <v>18</v>
      </c>
      <c r="U64" t="s">
        <v>32</v>
      </c>
      <c r="V64" t="s">
        <v>96</v>
      </c>
      <c r="W64" t="s">
        <v>97</v>
      </c>
      <c r="X64" t="s">
        <v>97</v>
      </c>
      <c r="Y64" t="s">
        <v>96</v>
      </c>
      <c r="Z64" t="s">
        <v>96</v>
      </c>
      <c r="AA64" t="s">
        <v>22</v>
      </c>
      <c r="AB64" t="s">
        <v>23</v>
      </c>
      <c r="AC64" t="s">
        <v>23</v>
      </c>
    </row>
    <row r="65" spans="1:29" ht="12.75" x14ac:dyDescent="0.2">
      <c r="A65" t="s">
        <v>14</v>
      </c>
      <c r="B65" t="s">
        <v>29</v>
      </c>
      <c r="C65" t="s">
        <v>72</v>
      </c>
      <c r="D65" t="s">
        <v>17</v>
      </c>
      <c r="E65" t="s">
        <v>96</v>
      </c>
      <c r="F65" t="s">
        <v>96</v>
      </c>
      <c r="G65" t="s">
        <v>97</v>
      </c>
      <c r="H65" t="s">
        <v>97</v>
      </c>
      <c r="I65" t="s">
        <v>97</v>
      </c>
      <c r="J65" t="s">
        <v>96</v>
      </c>
      <c r="K65" t="s">
        <v>96</v>
      </c>
      <c r="L65" t="s">
        <v>97</v>
      </c>
      <c r="M65" t="s">
        <v>97</v>
      </c>
      <c r="N65" t="s">
        <v>97</v>
      </c>
      <c r="O65" t="s">
        <v>18</v>
      </c>
      <c r="P65" t="s">
        <v>18</v>
      </c>
      <c r="Q65" t="s">
        <v>18</v>
      </c>
      <c r="R65" t="s">
        <v>18</v>
      </c>
      <c r="S65" t="s">
        <v>98</v>
      </c>
      <c r="T65" t="s">
        <v>18</v>
      </c>
      <c r="U65" t="s">
        <v>21</v>
      </c>
      <c r="V65" t="s">
        <v>96</v>
      </c>
      <c r="W65" t="s">
        <v>97</v>
      </c>
      <c r="X65" t="s">
        <v>97</v>
      </c>
      <c r="Y65" t="s">
        <v>97</v>
      </c>
      <c r="Z65" t="s">
        <v>96</v>
      </c>
      <c r="AA65" t="s">
        <v>22</v>
      </c>
      <c r="AB65" t="s">
        <v>23</v>
      </c>
      <c r="AC65" t="s">
        <v>23</v>
      </c>
    </row>
    <row r="66" spans="1:29" ht="12.75" x14ac:dyDescent="0.2">
      <c r="A66" t="s">
        <v>14</v>
      </c>
      <c r="B66" t="s">
        <v>15</v>
      </c>
      <c r="C66" t="s">
        <v>71</v>
      </c>
      <c r="D66" t="s">
        <v>39</v>
      </c>
      <c r="E66" t="s">
        <v>96</v>
      </c>
      <c r="F66" t="s">
        <v>96</v>
      </c>
      <c r="G66" t="s">
        <v>97</v>
      </c>
      <c r="H66" t="s">
        <v>97</v>
      </c>
      <c r="I66" t="s">
        <v>97</v>
      </c>
      <c r="J66" t="s">
        <v>96</v>
      </c>
      <c r="K66" t="s">
        <v>97</v>
      </c>
      <c r="L66" t="s">
        <v>96</v>
      </c>
      <c r="M66" t="s">
        <v>96</v>
      </c>
      <c r="N66" t="s">
        <v>97</v>
      </c>
      <c r="O66" t="s">
        <v>23</v>
      </c>
      <c r="P66" t="s">
        <v>18</v>
      </c>
      <c r="Q66" t="s">
        <v>23</v>
      </c>
      <c r="R66" t="s">
        <v>18</v>
      </c>
      <c r="S66" t="s">
        <v>98</v>
      </c>
      <c r="T66" t="s">
        <v>23</v>
      </c>
      <c r="U66" t="s">
        <v>32</v>
      </c>
      <c r="V66" t="s">
        <v>96</v>
      </c>
      <c r="W66" t="s">
        <v>96</v>
      </c>
      <c r="X66" t="s">
        <v>97</v>
      </c>
      <c r="Y66" t="s">
        <v>97</v>
      </c>
      <c r="Z66" t="s">
        <v>96</v>
      </c>
      <c r="AA66" t="s">
        <v>22</v>
      </c>
      <c r="AB66" t="s">
        <v>23</v>
      </c>
      <c r="AC66" t="s">
        <v>23</v>
      </c>
    </row>
    <row r="67" spans="1:29" ht="12.75" x14ac:dyDescent="0.2">
      <c r="A67" t="s">
        <v>27</v>
      </c>
      <c r="B67" t="s">
        <v>29</v>
      </c>
      <c r="C67" t="s">
        <v>73</v>
      </c>
      <c r="D67" t="s">
        <v>17</v>
      </c>
      <c r="E67" t="s">
        <v>97</v>
      </c>
      <c r="F67" t="s">
        <v>96</v>
      </c>
      <c r="G67" t="s">
        <v>97</v>
      </c>
      <c r="H67" t="s">
        <v>97</v>
      </c>
      <c r="I67" t="s">
        <v>97</v>
      </c>
      <c r="J67" t="s">
        <v>96</v>
      </c>
      <c r="K67" t="s">
        <v>96</v>
      </c>
      <c r="L67" t="s">
        <v>97</v>
      </c>
      <c r="M67" t="s">
        <v>96</v>
      </c>
      <c r="N67" t="s">
        <v>96</v>
      </c>
      <c r="O67" t="s">
        <v>18</v>
      </c>
      <c r="P67" t="s">
        <v>18</v>
      </c>
      <c r="Q67" t="s">
        <v>18</v>
      </c>
      <c r="R67" t="s">
        <v>18</v>
      </c>
      <c r="S67" t="s">
        <v>20</v>
      </c>
      <c r="T67" t="s">
        <v>18</v>
      </c>
      <c r="U67" t="s">
        <v>32</v>
      </c>
      <c r="V67" t="s">
        <v>96</v>
      </c>
      <c r="W67" t="s">
        <v>97</v>
      </c>
      <c r="X67" t="s">
        <v>97</v>
      </c>
      <c r="Y67" t="s">
        <v>97</v>
      </c>
      <c r="Z67" t="s">
        <v>96</v>
      </c>
      <c r="AA67" t="s">
        <v>22</v>
      </c>
      <c r="AB67" t="s">
        <v>18</v>
      </c>
      <c r="AC67" t="s">
        <v>23</v>
      </c>
    </row>
    <row r="68" spans="1:29" ht="12.75" x14ac:dyDescent="0.2">
      <c r="A68" t="s">
        <v>74</v>
      </c>
      <c r="B68" t="s">
        <v>15</v>
      </c>
      <c r="C68" t="s">
        <v>73</v>
      </c>
      <c r="D68" t="s">
        <v>17</v>
      </c>
      <c r="E68" t="s">
        <v>96</v>
      </c>
      <c r="F68" t="s">
        <v>96</v>
      </c>
      <c r="G68" t="s">
        <v>97</v>
      </c>
      <c r="H68" t="s">
        <v>97</v>
      </c>
      <c r="I68" t="s">
        <v>97</v>
      </c>
      <c r="J68" t="s">
        <v>96</v>
      </c>
      <c r="K68" t="s">
        <v>96</v>
      </c>
      <c r="L68" t="s">
        <v>96</v>
      </c>
      <c r="M68" t="s">
        <v>96</v>
      </c>
      <c r="N68" t="s">
        <v>96</v>
      </c>
      <c r="O68" t="s">
        <v>23</v>
      </c>
      <c r="P68" t="s">
        <v>23</v>
      </c>
      <c r="Q68" t="s">
        <v>18</v>
      </c>
      <c r="R68" t="s">
        <v>23</v>
      </c>
      <c r="S68" t="s">
        <v>34</v>
      </c>
      <c r="T68" t="s">
        <v>18</v>
      </c>
      <c r="U68" t="s">
        <v>32</v>
      </c>
      <c r="V68" t="s">
        <v>96</v>
      </c>
      <c r="W68" t="s">
        <v>97</v>
      </c>
      <c r="X68" t="s">
        <v>97</v>
      </c>
      <c r="Y68" t="s">
        <v>97</v>
      </c>
      <c r="Z68" t="s">
        <v>96</v>
      </c>
      <c r="AA68" t="s">
        <v>22</v>
      </c>
      <c r="AB68" t="s">
        <v>23</v>
      </c>
      <c r="AC68" t="s">
        <v>23</v>
      </c>
    </row>
    <row r="69" spans="1:29" ht="12.75" x14ac:dyDescent="0.2">
      <c r="A69" t="s">
        <v>27</v>
      </c>
      <c r="B69" t="s">
        <v>15</v>
      </c>
      <c r="C69" t="s">
        <v>75</v>
      </c>
      <c r="D69" t="s">
        <v>17</v>
      </c>
      <c r="E69" t="s">
        <v>97</v>
      </c>
      <c r="F69" t="s">
        <v>96</v>
      </c>
      <c r="G69" t="s">
        <v>97</v>
      </c>
      <c r="H69" t="s">
        <v>97</v>
      </c>
      <c r="I69" t="s">
        <v>97</v>
      </c>
      <c r="J69" t="s">
        <v>96</v>
      </c>
      <c r="K69" t="s">
        <v>97</v>
      </c>
      <c r="L69" t="s">
        <v>97</v>
      </c>
      <c r="M69" t="s">
        <v>97</v>
      </c>
      <c r="N69" t="s">
        <v>97</v>
      </c>
      <c r="O69" t="s">
        <v>18</v>
      </c>
      <c r="P69" t="s">
        <v>23</v>
      </c>
      <c r="Q69" t="s">
        <v>18</v>
      </c>
      <c r="R69" t="s">
        <v>18</v>
      </c>
      <c r="S69" t="s">
        <v>20</v>
      </c>
      <c r="T69" t="s">
        <v>18</v>
      </c>
      <c r="U69" t="s">
        <v>21</v>
      </c>
      <c r="V69" t="s">
        <v>96</v>
      </c>
      <c r="W69" t="s">
        <v>97</v>
      </c>
      <c r="X69" t="s">
        <v>97</v>
      </c>
      <c r="Y69" t="s">
        <v>97</v>
      </c>
      <c r="Z69" t="s">
        <v>96</v>
      </c>
      <c r="AA69" t="s">
        <v>47</v>
      </c>
      <c r="AB69" t="s">
        <v>23</v>
      </c>
      <c r="AC69" t="s">
        <v>23</v>
      </c>
    </row>
    <row r="70" spans="1:29" ht="12.75" x14ac:dyDescent="0.2">
      <c r="A70" t="s">
        <v>14</v>
      </c>
      <c r="B70" t="s">
        <v>15</v>
      </c>
      <c r="C70" t="s">
        <v>76</v>
      </c>
      <c r="D70" t="s">
        <v>39</v>
      </c>
      <c r="E70" t="s">
        <v>96</v>
      </c>
      <c r="F70" t="s">
        <v>96</v>
      </c>
      <c r="G70" t="s">
        <v>97</v>
      </c>
      <c r="H70" t="s">
        <v>97</v>
      </c>
      <c r="I70" t="s">
        <v>97</v>
      </c>
      <c r="J70" t="s">
        <v>96</v>
      </c>
      <c r="K70" t="s">
        <v>96</v>
      </c>
      <c r="L70" t="s">
        <v>96</v>
      </c>
      <c r="M70" t="s">
        <v>96</v>
      </c>
      <c r="N70" t="s">
        <v>96</v>
      </c>
      <c r="O70" t="s">
        <v>18</v>
      </c>
      <c r="P70" t="s">
        <v>18</v>
      </c>
      <c r="Q70" t="s">
        <v>18</v>
      </c>
      <c r="R70" t="s">
        <v>18</v>
      </c>
      <c r="S70" t="s">
        <v>20</v>
      </c>
      <c r="T70" t="s">
        <v>18</v>
      </c>
      <c r="U70" t="s">
        <v>40</v>
      </c>
      <c r="V70" t="s">
        <v>96</v>
      </c>
      <c r="W70" t="s">
        <v>97</v>
      </c>
      <c r="X70" t="s">
        <v>97</v>
      </c>
      <c r="Y70" t="s">
        <v>97</v>
      </c>
      <c r="Z70" t="s">
        <v>96</v>
      </c>
      <c r="AA70" t="s">
        <v>22</v>
      </c>
      <c r="AB70" t="s">
        <v>23</v>
      </c>
      <c r="AC70" t="s">
        <v>23</v>
      </c>
    </row>
    <row r="71" spans="1:29" ht="12.75" x14ac:dyDescent="0.2">
      <c r="A71" t="s">
        <v>27</v>
      </c>
      <c r="B71" t="s">
        <v>15</v>
      </c>
      <c r="C71" t="s">
        <v>77</v>
      </c>
      <c r="D71" t="s">
        <v>17</v>
      </c>
      <c r="E71" t="s">
        <v>96</v>
      </c>
      <c r="F71" t="s">
        <v>97</v>
      </c>
      <c r="G71" t="s">
        <v>96</v>
      </c>
      <c r="H71" t="s">
        <v>97</v>
      </c>
      <c r="I71" t="s">
        <v>97</v>
      </c>
      <c r="J71" t="s">
        <v>97</v>
      </c>
      <c r="K71" t="s">
        <v>97</v>
      </c>
      <c r="L71" t="s">
        <v>97</v>
      </c>
      <c r="M71" t="s">
        <v>96</v>
      </c>
      <c r="N71" t="s">
        <v>97</v>
      </c>
      <c r="O71" t="s">
        <v>23</v>
      </c>
      <c r="P71" t="s">
        <v>18</v>
      </c>
      <c r="Q71" t="s">
        <v>18</v>
      </c>
      <c r="R71" t="s">
        <v>18</v>
      </c>
      <c r="S71" t="s">
        <v>98</v>
      </c>
      <c r="T71" t="s">
        <v>18</v>
      </c>
      <c r="U71" t="s">
        <v>21</v>
      </c>
      <c r="V71" t="s">
        <v>96</v>
      </c>
      <c r="W71" t="s">
        <v>97</v>
      </c>
      <c r="X71" t="s">
        <v>96</v>
      </c>
      <c r="Y71" t="s">
        <v>97</v>
      </c>
      <c r="Z71" t="s">
        <v>96</v>
      </c>
      <c r="AA71" t="s">
        <v>22</v>
      </c>
      <c r="AB71" t="s">
        <v>23</v>
      </c>
      <c r="AC71" t="s">
        <v>23</v>
      </c>
    </row>
    <row r="72" spans="1:29" ht="12.75" x14ac:dyDescent="0.2">
      <c r="A72" t="s">
        <v>27</v>
      </c>
      <c r="B72" t="s">
        <v>29</v>
      </c>
      <c r="C72" t="s">
        <v>36</v>
      </c>
      <c r="D72" t="s">
        <v>17</v>
      </c>
      <c r="E72" t="s">
        <v>97</v>
      </c>
      <c r="F72" t="s">
        <v>96</v>
      </c>
      <c r="G72" t="s">
        <v>97</v>
      </c>
      <c r="H72" t="s">
        <v>97</v>
      </c>
      <c r="I72" t="s">
        <v>97</v>
      </c>
      <c r="J72" t="s">
        <v>96</v>
      </c>
      <c r="K72" t="s">
        <v>97</v>
      </c>
      <c r="L72" t="s">
        <v>96</v>
      </c>
      <c r="M72" t="s">
        <v>96</v>
      </c>
      <c r="N72" t="s">
        <v>96</v>
      </c>
      <c r="O72" t="s">
        <v>18</v>
      </c>
      <c r="P72" t="s">
        <v>19</v>
      </c>
      <c r="Q72" t="s">
        <v>18</v>
      </c>
      <c r="R72" t="s">
        <v>18</v>
      </c>
      <c r="S72" t="s">
        <v>20</v>
      </c>
      <c r="T72" t="s">
        <v>18</v>
      </c>
      <c r="U72" t="s">
        <v>21</v>
      </c>
      <c r="V72" t="s">
        <v>97</v>
      </c>
      <c r="W72" t="s">
        <v>97</v>
      </c>
      <c r="X72" t="s">
        <v>97</v>
      </c>
      <c r="Y72" t="s">
        <v>97</v>
      </c>
      <c r="Z72" t="s">
        <v>96</v>
      </c>
      <c r="AA72" t="s">
        <v>22</v>
      </c>
      <c r="AB72" t="s">
        <v>19</v>
      </c>
      <c r="AC72" t="s">
        <v>23</v>
      </c>
    </row>
    <row r="73" spans="1:29" ht="12.75" x14ac:dyDescent="0.2">
      <c r="A73" t="s">
        <v>14</v>
      </c>
      <c r="B73" t="s">
        <v>29</v>
      </c>
      <c r="C73" t="s">
        <v>73</v>
      </c>
      <c r="D73" t="s">
        <v>17</v>
      </c>
      <c r="E73" t="s">
        <v>97</v>
      </c>
      <c r="F73" t="s">
        <v>96</v>
      </c>
      <c r="G73" t="s">
        <v>97</v>
      </c>
      <c r="H73" t="s">
        <v>97</v>
      </c>
      <c r="I73" t="s">
        <v>97</v>
      </c>
      <c r="J73" t="s">
        <v>96</v>
      </c>
      <c r="K73" t="s">
        <v>97</v>
      </c>
      <c r="L73" t="s">
        <v>96</v>
      </c>
      <c r="M73" t="s">
        <v>96</v>
      </c>
      <c r="N73" t="s">
        <v>97</v>
      </c>
      <c r="O73" t="s">
        <v>18</v>
      </c>
      <c r="P73" t="s">
        <v>19</v>
      </c>
      <c r="Q73" t="s">
        <v>18</v>
      </c>
      <c r="R73" t="s">
        <v>18</v>
      </c>
      <c r="S73" t="s">
        <v>98</v>
      </c>
      <c r="T73" t="s">
        <v>18</v>
      </c>
      <c r="U73" t="s">
        <v>32</v>
      </c>
      <c r="V73" t="s">
        <v>97</v>
      </c>
      <c r="W73" t="s">
        <v>97</v>
      </c>
      <c r="X73" t="s">
        <v>97</v>
      </c>
      <c r="Y73" t="s">
        <v>97</v>
      </c>
      <c r="Z73" t="s">
        <v>96</v>
      </c>
      <c r="AA73" t="s">
        <v>22</v>
      </c>
      <c r="AB73" t="s">
        <v>18</v>
      </c>
      <c r="AC73" t="s">
        <v>23</v>
      </c>
    </row>
    <row r="74" spans="1:29" ht="12.75" x14ac:dyDescent="0.2">
      <c r="A74" t="s">
        <v>14</v>
      </c>
      <c r="B74" t="s">
        <v>29</v>
      </c>
      <c r="C74" t="s">
        <v>78</v>
      </c>
      <c r="D74" t="s">
        <v>17</v>
      </c>
      <c r="E74" t="s">
        <v>96</v>
      </c>
      <c r="F74" t="s">
        <v>96</v>
      </c>
      <c r="G74" t="s">
        <v>97</v>
      </c>
      <c r="H74" t="s">
        <v>96</v>
      </c>
      <c r="I74" t="s">
        <v>97</v>
      </c>
      <c r="J74" t="s">
        <v>96</v>
      </c>
      <c r="K74" t="s">
        <v>96</v>
      </c>
      <c r="L74" t="s">
        <v>96</v>
      </c>
      <c r="M74" t="s">
        <v>96</v>
      </c>
      <c r="N74" t="s">
        <v>96</v>
      </c>
      <c r="O74" t="s">
        <v>18</v>
      </c>
      <c r="P74" t="s">
        <v>23</v>
      </c>
      <c r="Q74" t="s">
        <v>18</v>
      </c>
      <c r="R74" t="s">
        <v>18</v>
      </c>
      <c r="S74" t="s">
        <v>98</v>
      </c>
      <c r="T74" t="s">
        <v>23</v>
      </c>
      <c r="U74" t="s">
        <v>32</v>
      </c>
      <c r="V74" t="s">
        <v>96</v>
      </c>
      <c r="W74" t="s">
        <v>96</v>
      </c>
      <c r="X74" t="s">
        <v>97</v>
      </c>
      <c r="Y74" t="s">
        <v>96</v>
      </c>
      <c r="Z74" t="s">
        <v>96</v>
      </c>
      <c r="AA74" t="s">
        <v>22</v>
      </c>
      <c r="AB74" t="s">
        <v>23</v>
      </c>
      <c r="AC74" t="s">
        <v>23</v>
      </c>
    </row>
    <row r="75" spans="1:29" ht="12.75" x14ac:dyDescent="0.2">
      <c r="A75" t="s">
        <v>14</v>
      </c>
      <c r="B75" t="s">
        <v>29</v>
      </c>
      <c r="C75" t="s">
        <v>50</v>
      </c>
      <c r="D75" t="s">
        <v>17</v>
      </c>
      <c r="E75" t="s">
        <v>96</v>
      </c>
      <c r="F75" t="s">
        <v>97</v>
      </c>
      <c r="G75" t="s">
        <v>97</v>
      </c>
      <c r="H75" t="s">
        <v>97</v>
      </c>
      <c r="I75" t="s">
        <v>97</v>
      </c>
      <c r="J75" t="s">
        <v>96</v>
      </c>
      <c r="K75" t="s">
        <v>97</v>
      </c>
      <c r="L75" t="s">
        <v>97</v>
      </c>
      <c r="M75" t="s">
        <v>97</v>
      </c>
      <c r="N75" t="s">
        <v>97</v>
      </c>
      <c r="O75" t="s">
        <v>23</v>
      </c>
      <c r="P75" t="s">
        <v>23</v>
      </c>
      <c r="Q75" t="s">
        <v>18</v>
      </c>
      <c r="R75" t="s">
        <v>18</v>
      </c>
      <c r="S75" t="s">
        <v>20</v>
      </c>
      <c r="T75" t="s">
        <v>18</v>
      </c>
      <c r="U75" t="s">
        <v>32</v>
      </c>
      <c r="V75" t="s">
        <v>97</v>
      </c>
      <c r="W75" t="s">
        <v>97</v>
      </c>
      <c r="X75" t="s">
        <v>97</v>
      </c>
      <c r="Y75" t="s">
        <v>97</v>
      </c>
      <c r="Z75" t="s">
        <v>96</v>
      </c>
      <c r="AA75" t="s">
        <v>22</v>
      </c>
      <c r="AB75" t="s">
        <v>18</v>
      </c>
      <c r="AC75" t="s">
        <v>23</v>
      </c>
    </row>
    <row r="76" spans="1:29" ht="12.75" x14ac:dyDescent="0.2">
      <c r="A76" t="s">
        <v>79</v>
      </c>
      <c r="B76" t="s">
        <v>29</v>
      </c>
      <c r="C76" t="s">
        <v>44</v>
      </c>
      <c r="D76" t="s">
        <v>39</v>
      </c>
      <c r="E76" t="s">
        <v>96</v>
      </c>
      <c r="F76" t="s">
        <v>96</v>
      </c>
      <c r="G76" t="s">
        <v>96</v>
      </c>
      <c r="H76" t="s">
        <v>97</v>
      </c>
      <c r="I76" t="s">
        <v>97</v>
      </c>
      <c r="J76" t="s">
        <v>96</v>
      </c>
      <c r="K76" t="s">
        <v>96</v>
      </c>
      <c r="L76" t="s">
        <v>97</v>
      </c>
      <c r="M76" t="s">
        <v>97</v>
      </c>
      <c r="N76" t="s">
        <v>97</v>
      </c>
      <c r="O76" t="s">
        <v>18</v>
      </c>
      <c r="P76" t="s">
        <v>19</v>
      </c>
      <c r="Q76" t="s">
        <v>18</v>
      </c>
      <c r="R76" t="s">
        <v>18</v>
      </c>
      <c r="S76" t="s">
        <v>20</v>
      </c>
      <c r="T76" t="s">
        <v>18</v>
      </c>
      <c r="U76" t="s">
        <v>32</v>
      </c>
      <c r="V76" t="s">
        <v>96</v>
      </c>
      <c r="W76" t="s">
        <v>97</v>
      </c>
      <c r="X76" t="s">
        <v>97</v>
      </c>
      <c r="Y76" t="s">
        <v>97</v>
      </c>
      <c r="Z76" t="s">
        <v>96</v>
      </c>
      <c r="AA76" t="s">
        <v>22</v>
      </c>
      <c r="AB76" t="s">
        <v>23</v>
      </c>
      <c r="AC76" t="s">
        <v>23</v>
      </c>
    </row>
    <row r="77" spans="1:29" ht="12.75" x14ac:dyDescent="0.2">
      <c r="A77" t="s">
        <v>14</v>
      </c>
      <c r="B77" t="s">
        <v>29</v>
      </c>
      <c r="C77" t="s">
        <v>80</v>
      </c>
      <c r="D77" t="s">
        <v>17</v>
      </c>
      <c r="E77" t="s">
        <v>96</v>
      </c>
      <c r="F77" t="s">
        <v>96</v>
      </c>
      <c r="G77" t="s">
        <v>97</v>
      </c>
      <c r="H77" t="s">
        <v>97</v>
      </c>
      <c r="I77" t="s">
        <v>97</v>
      </c>
      <c r="J77" t="s">
        <v>96</v>
      </c>
      <c r="K77" t="s">
        <v>97</v>
      </c>
      <c r="L77" t="s">
        <v>96</v>
      </c>
      <c r="M77" t="s">
        <v>96</v>
      </c>
      <c r="N77" t="s">
        <v>96</v>
      </c>
      <c r="O77" t="s">
        <v>18</v>
      </c>
      <c r="P77" t="s">
        <v>23</v>
      </c>
      <c r="Q77" t="s">
        <v>18</v>
      </c>
      <c r="R77" t="s">
        <v>18</v>
      </c>
      <c r="S77" t="s">
        <v>98</v>
      </c>
      <c r="T77" t="s">
        <v>18</v>
      </c>
      <c r="U77" t="s">
        <v>32</v>
      </c>
      <c r="V77" t="s">
        <v>96</v>
      </c>
      <c r="W77" t="s">
        <v>97</v>
      </c>
      <c r="X77" t="s">
        <v>97</v>
      </c>
      <c r="Y77" t="s">
        <v>97</v>
      </c>
      <c r="Z77" t="s">
        <v>96</v>
      </c>
      <c r="AA77" t="s">
        <v>22</v>
      </c>
      <c r="AB77" t="s">
        <v>23</v>
      </c>
      <c r="AC77" t="s">
        <v>18</v>
      </c>
    </row>
    <row r="78" spans="1:29" ht="12.75" x14ac:dyDescent="0.2">
      <c r="A78" t="s">
        <v>43</v>
      </c>
      <c r="B78" t="s">
        <v>29</v>
      </c>
      <c r="C78" t="s">
        <v>81</v>
      </c>
      <c r="D78" t="s">
        <v>17</v>
      </c>
      <c r="E78" t="s">
        <v>97</v>
      </c>
      <c r="F78" t="s">
        <v>96</v>
      </c>
      <c r="G78" t="s">
        <v>97</v>
      </c>
      <c r="H78" t="s">
        <v>97</v>
      </c>
      <c r="I78" t="s">
        <v>97</v>
      </c>
      <c r="J78" t="s">
        <v>96</v>
      </c>
      <c r="K78" t="s">
        <v>96</v>
      </c>
      <c r="L78" t="s">
        <v>96</v>
      </c>
      <c r="M78" t="s">
        <v>96</v>
      </c>
      <c r="N78" t="s">
        <v>96</v>
      </c>
      <c r="O78" t="s">
        <v>18</v>
      </c>
      <c r="P78" t="s">
        <v>19</v>
      </c>
      <c r="Q78" t="s">
        <v>23</v>
      </c>
      <c r="R78" t="s">
        <v>18</v>
      </c>
      <c r="S78" t="s">
        <v>20</v>
      </c>
      <c r="T78" t="s">
        <v>18</v>
      </c>
      <c r="U78" t="s">
        <v>32</v>
      </c>
      <c r="V78" t="s">
        <v>96</v>
      </c>
      <c r="W78" t="s">
        <v>97</v>
      </c>
      <c r="X78" t="s">
        <v>97</v>
      </c>
      <c r="Y78" t="s">
        <v>97</v>
      </c>
      <c r="Z78" t="s">
        <v>96</v>
      </c>
      <c r="AA78" t="s">
        <v>22</v>
      </c>
      <c r="AB78" t="s">
        <v>19</v>
      </c>
      <c r="AC78" t="s">
        <v>23</v>
      </c>
    </row>
    <row r="79" spans="1:29" ht="12.75" x14ac:dyDescent="0.2">
      <c r="A79" t="s">
        <v>27</v>
      </c>
      <c r="B79" t="s">
        <v>29</v>
      </c>
      <c r="C79" t="s">
        <v>35</v>
      </c>
      <c r="D79" t="s">
        <v>61</v>
      </c>
      <c r="E79" t="s">
        <v>96</v>
      </c>
      <c r="F79" t="s">
        <v>96</v>
      </c>
      <c r="G79" t="s">
        <v>97</v>
      </c>
      <c r="H79" t="s">
        <v>97</v>
      </c>
      <c r="I79" t="s">
        <v>97</v>
      </c>
      <c r="J79" t="s">
        <v>97</v>
      </c>
      <c r="K79" t="s">
        <v>96</v>
      </c>
      <c r="L79" t="s">
        <v>97</v>
      </c>
      <c r="M79" t="s">
        <v>96</v>
      </c>
      <c r="N79" t="s">
        <v>97</v>
      </c>
      <c r="O79" t="s">
        <v>18</v>
      </c>
      <c r="P79" t="s">
        <v>18</v>
      </c>
      <c r="Q79" t="s">
        <v>23</v>
      </c>
      <c r="R79" t="s">
        <v>23</v>
      </c>
      <c r="S79" t="s">
        <v>34</v>
      </c>
      <c r="T79" t="s">
        <v>18</v>
      </c>
      <c r="U79" t="s">
        <v>21</v>
      </c>
      <c r="V79" t="s">
        <v>96</v>
      </c>
      <c r="W79" t="s">
        <v>97</v>
      </c>
      <c r="X79" t="s">
        <v>97</v>
      </c>
      <c r="Y79" t="s">
        <v>97</v>
      </c>
      <c r="Z79" t="s">
        <v>96</v>
      </c>
      <c r="AA79" t="s">
        <v>22</v>
      </c>
      <c r="AB79" t="s">
        <v>19</v>
      </c>
      <c r="AC79" t="s">
        <v>23</v>
      </c>
    </row>
    <row r="80" spans="1:29" ht="12.75" x14ac:dyDescent="0.2">
      <c r="A80" t="s">
        <v>27</v>
      </c>
      <c r="B80" t="s">
        <v>29</v>
      </c>
      <c r="C80" t="s">
        <v>82</v>
      </c>
      <c r="D80" t="s">
        <v>39</v>
      </c>
      <c r="E80" t="s">
        <v>96</v>
      </c>
      <c r="F80" t="s">
        <v>97</v>
      </c>
      <c r="G80" t="s">
        <v>97</v>
      </c>
      <c r="H80" t="s">
        <v>97</v>
      </c>
      <c r="I80" t="s">
        <v>97</v>
      </c>
      <c r="J80" t="s">
        <v>96</v>
      </c>
      <c r="K80" t="s">
        <v>97</v>
      </c>
      <c r="L80" t="s">
        <v>96</v>
      </c>
      <c r="M80" t="s">
        <v>97</v>
      </c>
      <c r="N80" t="s">
        <v>96</v>
      </c>
      <c r="O80" t="s">
        <v>18</v>
      </c>
      <c r="P80" t="s">
        <v>19</v>
      </c>
      <c r="Q80" t="s">
        <v>18</v>
      </c>
      <c r="R80" t="s">
        <v>18</v>
      </c>
      <c r="S80" t="s">
        <v>98</v>
      </c>
      <c r="T80" t="s">
        <v>18</v>
      </c>
      <c r="U80" t="s">
        <v>54</v>
      </c>
      <c r="V80" t="s">
        <v>96</v>
      </c>
      <c r="W80" t="s">
        <v>96</v>
      </c>
      <c r="X80" t="s">
        <v>96</v>
      </c>
      <c r="Y80" t="s">
        <v>96</v>
      </c>
      <c r="Z80" t="s">
        <v>96</v>
      </c>
      <c r="AA80" t="s">
        <v>22</v>
      </c>
      <c r="AB80" t="s">
        <v>23</v>
      </c>
      <c r="AC80" t="s">
        <v>23</v>
      </c>
    </row>
    <row r="81" spans="1:29" ht="12.75" x14ac:dyDescent="0.2">
      <c r="A81" t="s">
        <v>14</v>
      </c>
      <c r="B81" t="s">
        <v>15</v>
      </c>
      <c r="C81" t="s">
        <v>83</v>
      </c>
      <c r="D81" t="s">
        <v>17</v>
      </c>
      <c r="E81" t="s">
        <v>97</v>
      </c>
      <c r="F81" t="s">
        <v>96</v>
      </c>
      <c r="G81" t="s">
        <v>97</v>
      </c>
      <c r="H81" t="s">
        <v>97</v>
      </c>
      <c r="I81" t="s">
        <v>97</v>
      </c>
      <c r="J81" t="s">
        <v>97</v>
      </c>
      <c r="K81" t="s">
        <v>97</v>
      </c>
      <c r="L81" t="s">
        <v>97</v>
      </c>
      <c r="M81" t="s">
        <v>97</v>
      </c>
      <c r="N81" t="s">
        <v>96</v>
      </c>
      <c r="O81" t="s">
        <v>18</v>
      </c>
      <c r="P81" t="s">
        <v>19</v>
      </c>
      <c r="Q81" t="s">
        <v>18</v>
      </c>
      <c r="R81" t="s">
        <v>18</v>
      </c>
      <c r="S81" t="s">
        <v>20</v>
      </c>
      <c r="T81" t="s">
        <v>18</v>
      </c>
      <c r="U81" t="s">
        <v>32</v>
      </c>
      <c r="V81" t="s">
        <v>97</v>
      </c>
      <c r="W81" t="s">
        <v>97</v>
      </c>
      <c r="X81" t="s">
        <v>97</v>
      </c>
      <c r="Y81" t="s">
        <v>97</v>
      </c>
      <c r="Z81" t="s">
        <v>96</v>
      </c>
      <c r="AA81" t="s">
        <v>22</v>
      </c>
      <c r="AB81" t="s">
        <v>23</v>
      </c>
      <c r="AC81" t="s">
        <v>23</v>
      </c>
    </row>
    <row r="82" spans="1:29" ht="12.75" x14ac:dyDescent="0.2">
      <c r="A82" t="s">
        <v>14</v>
      </c>
      <c r="B82" t="s">
        <v>15</v>
      </c>
      <c r="C82" t="s">
        <v>68</v>
      </c>
      <c r="D82" t="s">
        <v>17</v>
      </c>
      <c r="E82" t="s">
        <v>96</v>
      </c>
      <c r="F82" t="s">
        <v>97</v>
      </c>
      <c r="G82" t="s">
        <v>97</v>
      </c>
      <c r="H82" t="s">
        <v>97</v>
      </c>
      <c r="I82" t="s">
        <v>97</v>
      </c>
      <c r="J82" t="s">
        <v>96</v>
      </c>
      <c r="K82" t="s">
        <v>97</v>
      </c>
      <c r="L82" t="s">
        <v>97</v>
      </c>
      <c r="M82" t="s">
        <v>97</v>
      </c>
      <c r="N82" t="s">
        <v>97</v>
      </c>
      <c r="O82" t="s">
        <v>18</v>
      </c>
      <c r="P82" t="s">
        <v>18</v>
      </c>
      <c r="Q82" t="s">
        <v>18</v>
      </c>
      <c r="R82" t="s">
        <v>18</v>
      </c>
      <c r="S82" t="s">
        <v>98</v>
      </c>
      <c r="T82" t="s">
        <v>23</v>
      </c>
      <c r="U82" t="s">
        <v>32</v>
      </c>
      <c r="V82" t="s">
        <v>96</v>
      </c>
      <c r="W82" t="s">
        <v>97</v>
      </c>
      <c r="X82" t="s">
        <v>97</v>
      </c>
      <c r="Y82" t="s">
        <v>97</v>
      </c>
      <c r="Z82" t="s">
        <v>96</v>
      </c>
      <c r="AA82" t="s">
        <v>22</v>
      </c>
      <c r="AB82" t="s">
        <v>23</v>
      </c>
      <c r="AC82" t="s">
        <v>23</v>
      </c>
    </row>
    <row r="83" spans="1:29" ht="12.75" x14ac:dyDescent="0.2">
      <c r="A83" t="s">
        <v>14</v>
      </c>
      <c r="B83" t="s">
        <v>29</v>
      </c>
      <c r="C83" t="s">
        <v>57</v>
      </c>
      <c r="D83" t="s">
        <v>17</v>
      </c>
      <c r="E83" t="s">
        <v>97</v>
      </c>
      <c r="F83" t="s">
        <v>96</v>
      </c>
      <c r="G83" t="s">
        <v>97</v>
      </c>
      <c r="H83" t="s">
        <v>97</v>
      </c>
      <c r="I83" t="s">
        <v>97</v>
      </c>
      <c r="J83" t="s">
        <v>97</v>
      </c>
      <c r="K83" t="s">
        <v>97</v>
      </c>
      <c r="L83" t="s">
        <v>96</v>
      </c>
      <c r="M83" t="s">
        <v>97</v>
      </c>
      <c r="N83" t="s">
        <v>97</v>
      </c>
      <c r="O83" t="s">
        <v>18</v>
      </c>
      <c r="P83" t="s">
        <v>23</v>
      </c>
      <c r="Q83" t="s">
        <v>18</v>
      </c>
      <c r="R83" t="s">
        <v>18</v>
      </c>
      <c r="S83" t="s">
        <v>98</v>
      </c>
      <c r="T83" t="s">
        <v>18</v>
      </c>
      <c r="U83" t="s">
        <v>21</v>
      </c>
      <c r="V83" t="s">
        <v>97</v>
      </c>
      <c r="W83" t="s">
        <v>97</v>
      </c>
      <c r="X83" t="s">
        <v>97</v>
      </c>
      <c r="Y83" t="s">
        <v>97</v>
      </c>
      <c r="Z83" t="s">
        <v>96</v>
      </c>
      <c r="AA83" t="s">
        <v>22</v>
      </c>
      <c r="AB83" t="s">
        <v>23</v>
      </c>
      <c r="AC83" t="s">
        <v>23</v>
      </c>
    </row>
    <row r="88" spans="1:29" ht="15.75" customHeight="1" x14ac:dyDescent="0.2">
      <c r="S88" t="s">
        <v>99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1E3-83A7-45A5-91D3-B4D60BE8D45B}">
  <dimension ref="A1:AC83"/>
  <sheetViews>
    <sheetView topLeftCell="D1" workbookViewId="0">
      <selection sqref="A1:AC1"/>
    </sheetView>
  </sheetViews>
  <sheetFormatPr defaultRowHeight="12.75" x14ac:dyDescent="0.2"/>
  <cols>
    <col min="1" max="1" width="11.5703125" customWidth="1"/>
  </cols>
  <sheetData>
    <row r="1" spans="1:29" x14ac:dyDescent="0.2">
      <c r="A1" s="4" t="s">
        <v>100</v>
      </c>
      <c r="B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115</v>
      </c>
      <c r="R1" s="4" t="s">
        <v>116</v>
      </c>
      <c r="S1" s="4" t="s">
        <v>117</v>
      </c>
      <c r="T1" s="4" t="s">
        <v>118</v>
      </c>
      <c r="U1" s="4" t="s">
        <v>119</v>
      </c>
      <c r="V1" s="4" t="s">
        <v>121</v>
      </c>
      <c r="W1" s="4" t="s">
        <v>122</v>
      </c>
      <c r="X1" s="4" t="s">
        <v>123</v>
      </c>
      <c r="Y1" s="4" t="s">
        <v>124</v>
      </c>
      <c r="Z1" s="4" t="s">
        <v>125</v>
      </c>
      <c r="AA1" s="4" t="s">
        <v>120</v>
      </c>
      <c r="AB1" s="4" t="s">
        <v>126</v>
      </c>
      <c r="AC1" s="4" t="s">
        <v>127</v>
      </c>
    </row>
    <row r="2" spans="1:29" x14ac:dyDescent="0.2">
      <c r="A2" cm="1">
        <f t="array" ref="A2">_xlfn.IFS('Form responses 1'!A2 = "18-24 years", 1, 'Form responses 1'!A2 = "25-34 years", 2, 'Form responses 1'!A2= "35-44 years", 3, 'Form responses 1'!A2= "45-54 years", 4, 'Form responses 1'!A2= "55-64 years", 5, 'Form responses 1'!A2= "65 &amp; above", 6, 0, TRUE)</f>
        <v>2</v>
      </c>
      <c r="B2" cm="1">
        <f t="array" ref="B2">_xlfn.IFS('Form responses 1'!B2 = "Female", 1, 'Form responses 1'!B2 = "Male", 2, 0, TRUE)</f>
        <v>2</v>
      </c>
      <c r="C2" t="s">
        <v>16</v>
      </c>
      <c r="D2" cm="1">
        <f t="array" ref="D2">_xlfn.IFS('Form responses 1'!D2 = "Once", 1, 'Form responses 1'!D2 = "Twice", 2, 'Form responses 1'!D2= "More than twice", 3, 'Form responses 1'!D2= "Occasionally", 4, 0, TRUE)</f>
        <v>2</v>
      </c>
      <c r="E2" cm="1">
        <f t="array" ref="E2">_xlfn.IFS('Form responses 1'!E2 = "Selected", 1, 'Form responses 1'!E2 = "Not Selected", 0, 0, TRUE)</f>
        <v>1</v>
      </c>
      <c r="F2" cm="1">
        <f t="array" ref="F2">_xlfn.IFS('Form responses 1'!F2 = "Selected", 1, 'Form responses 1'!F2 = "Not Selected", 0, 0, TRUE)</f>
        <v>1</v>
      </c>
      <c r="G2" cm="1">
        <f t="array" ref="G2">_xlfn.IFS('Form responses 1'!G2 = "Selected", 1, 'Form responses 1'!G2 = "Not Selected", 0, 0, TRUE)</f>
        <v>0</v>
      </c>
      <c r="H2" cm="1">
        <f t="array" ref="H2">_xlfn.IFS('Form responses 1'!H2 = "Selected", 1, 'Form responses 1'!H2 = "Not Selected", 0, 0, TRUE)</f>
        <v>0</v>
      </c>
      <c r="I2" cm="1">
        <f t="array" ref="I2">_xlfn.IFS('Form responses 1'!I2 = "Selected", 1, 'Form responses 1'!I2 = "Not Selected", 0, 0, TRUE)</f>
        <v>0</v>
      </c>
      <c r="J2" cm="1">
        <f t="array" ref="J2">_xlfn.IFS('Form responses 1'!J2 = "Selected", 1, 'Form responses 1'!J2 = "Not Selected", 0, 0, TRUE)</f>
        <v>1</v>
      </c>
      <c r="K2" cm="1">
        <f t="array" ref="K2">_xlfn.IFS('Form responses 1'!K2 = "Selected", 1, 'Form responses 1'!K2 = "Not Selected", 0, 0, TRUE)</f>
        <v>0</v>
      </c>
      <c r="L2" cm="1">
        <f t="array" ref="L2">_xlfn.IFS('Form responses 1'!L2 = "Selected", 1, 'Form responses 1'!L2 = "Not Selected", 0, 0, TRUE)</f>
        <v>1</v>
      </c>
      <c r="M2" cm="1">
        <f t="array" ref="M2">_xlfn.IFS('Form responses 1'!M2 = "Selected", 1, 'Form responses 1'!M2 = "Not Selected", 0, 0, TRUE)</f>
        <v>0</v>
      </c>
      <c r="N2" cm="1">
        <f t="array" ref="N2">_xlfn.IFS('Form responses 1'!N2 = "Selected", 1, 'Form responses 1'!N2 = "Not Selected", 0, 0, TRUE)</f>
        <v>0</v>
      </c>
      <c r="O2" cm="1">
        <f t="array" ref="O2">_xlfn.IFS('Form responses 1'!O2 = "Yes", 1, 'Form responses 1'!O2 = "No", 2, 0, TRUE)</f>
        <v>2</v>
      </c>
      <c r="P2" cm="1">
        <f t="array" ref="P2">_xlfn.IFS('Form responses 1'!P2 = "Yes", 1, 'Form responses 1'!P2 = "No", 2, 'Form responses 1'!P2 = "Not sure", 3, 0, TRUE)</f>
        <v>3</v>
      </c>
      <c r="Q2" cm="1">
        <f t="array" ref="Q2">_xlfn.IFS('Form responses 1'!Q2 = "Yes", 1, 'Form responses 1'!Q2 = "No", 2, 0, TRUE)</f>
        <v>2</v>
      </c>
      <c r="R2" cm="1">
        <f t="array" ref="R2">_xlfn.IFS('Form responses 1'!R2 = "Yes", 1, 'Form responses 1'!R2 = "No", 2, 0, TRUE)</f>
        <v>2</v>
      </c>
      <c r="S2" cm="1">
        <f t="array" ref="S2">_xlfn.IFS('Form responses 1'!S2 = "Severely embarrassed", 1, 'Form responses 1'!S2 = "Somewhat uncomfortable", 2, 'Form responses 1'!S2= "Not affected", 3, 'Form responses 1'!S2= "Indifferent", 4, 0, TRUE)</f>
        <v>3</v>
      </c>
      <c r="T2" cm="1">
        <f t="array" ref="T2">_xlfn.IFS('Form responses 1'!T2 = "Yes", 1, 'Form responses 1'!T2 = "No", 2, 'Form responses 1'!T2 = "Not sure", 3, 0, TRUE)</f>
        <v>2</v>
      </c>
      <c r="U2" cm="1">
        <f t="array" ref="U2">_xlfn.IFS('Form responses 1'!U2 = "Strongly agree", 1, 'Form responses 1'!U2 = "Agree", 2, 'Form responses 1'!U2 = "Neutral", 3, 'Form responses 1'!U2 = "Disagree", 4, 0, TRUE)</f>
        <v>2</v>
      </c>
      <c r="V2" cm="1">
        <f t="array" ref="V2">_xlfn.IFS('Form responses 1'!V2 = "Selected", 1, 'Form responses 1'!V2 = "Not Selected", 0, 0, TRUE)</f>
        <v>1</v>
      </c>
      <c r="W2" cm="1">
        <f t="array" ref="W2">_xlfn.IFS('Form responses 1'!W2 = "Selected", 1, 'Form responses 1'!W2 = "Not Selected", 0, 0, TRUE)</f>
        <v>0</v>
      </c>
      <c r="X2" cm="1">
        <f t="array" ref="X2">_xlfn.IFS('Form responses 1'!X2 = "Selected", 1, 'Form responses 1'!X2 = "Not Selected", 0, 0, TRUE)</f>
        <v>0</v>
      </c>
      <c r="Y2" cm="1">
        <f t="array" ref="Y2">_xlfn.IFS('Form responses 1'!Y2 = "Selected", 1, 'Form responses 1'!Y2 = "Not Selected", 0, 0, TRUE)</f>
        <v>0</v>
      </c>
      <c r="Z2" cm="1">
        <f t="array" ref="Z2">_xlfn.IFS('Form responses 1'!Z2 = "Selected", 1, 'Form responses 1'!Z2 = "Not Selected", 0, 0, TRUE)</f>
        <v>1</v>
      </c>
      <c r="AA2" cm="1">
        <f t="array" ref="AA2">_xlfn.IFS('Form responses 1'!AA2 = "Very effective", 1, 'Form responses 1'!AA2 = "Somewhat effective", 2, 'Form responses 1'!AA2 = "Not effective", 3, 'Form responses 1'!AA2 = "Made it worse", 4, 0, TRUE)</f>
        <v>1</v>
      </c>
      <c r="AB2" cm="1">
        <f t="array" ref="AB2">_xlfn.IFS('Form responses 1'!AB2 = "Yes", 1, 'Form responses 1'!AB2 = "No", 2, 'Form responses 1'!AB2 = "Not sure", 3, 0, TRUE)</f>
        <v>1</v>
      </c>
      <c r="AC2" cm="1">
        <f t="array" ref="AC2">_xlfn.IFS('Form responses 1'!AC2 = "Yes", 1, 'Form responses 1'!AC2 = "No", 2, 0, TRUE)</f>
        <v>1</v>
      </c>
    </row>
    <row r="3" spans="1:29" x14ac:dyDescent="0.2">
      <c r="A3" cm="1">
        <f t="array" ref="A3">_xlfn.IFS('Form responses 1'!A3 = "18-24 years", 1, 'Form responses 1'!A3 = "25-34 years", 2, 'Form responses 1'!A3= "35-44 years", 3, 'Form responses 1'!A3= "45-54 years", 4, 'Form responses 1'!A3= "55-64 years", 5, 'Form responses 1'!A3= "65 &amp; above", 6, 0, TRUE)</f>
        <v>2</v>
      </c>
      <c r="B3" cm="1">
        <f t="array" ref="B3">_xlfn.IFS('Form responses 1'!B3 = "Female", 1, 'Form responses 1'!B3 = "Male", 2, 0, TRUE)</f>
        <v>2</v>
      </c>
      <c r="C3" t="s">
        <v>24</v>
      </c>
      <c r="D3" cm="1">
        <f t="array" ref="D3">_xlfn.IFS('Form responses 1'!D3 = "Once", 1, 'Form responses 1'!D3 = "Twice", 2, 'Form responses 1'!D3= "More than twice", 3, 'Form responses 1'!D3= "Occasionally", 4, 0, TRUE)</f>
        <v>2</v>
      </c>
      <c r="E3" cm="1">
        <f t="array" ref="E3">_xlfn.IFS('Form responses 1'!E3 = "Selected", 1, 'Form responses 1'!E3 = "Not Selected", 0, 0, TRUE)</f>
        <v>0</v>
      </c>
      <c r="F3" cm="1">
        <f t="array" ref="F3">_xlfn.IFS('Form responses 1'!F3 = "Selected", 1, 'Form responses 1'!F3 = "Not Selected", 0, 0, TRUE)</f>
        <v>1</v>
      </c>
      <c r="G3" cm="1">
        <f t="array" ref="G3">_xlfn.IFS('Form responses 1'!G3 = "Selected", 1, 'Form responses 1'!G3 = "Not Selected", 0, 0, TRUE)</f>
        <v>0</v>
      </c>
      <c r="H3" cm="1">
        <f t="array" ref="H3">_xlfn.IFS('Form responses 1'!H3 = "Selected", 1, 'Form responses 1'!H3 = "Not Selected", 0, 0, TRUE)</f>
        <v>0</v>
      </c>
      <c r="I3" cm="1">
        <f t="array" ref="I3">_xlfn.IFS('Form responses 1'!I3 = "Selected", 1, 'Form responses 1'!I3 = "Not Selected", 0, 0, TRUE)</f>
        <v>0</v>
      </c>
      <c r="J3" cm="1">
        <f t="array" ref="J3">_xlfn.IFS('Form responses 1'!J3 = "Selected", 1, 'Form responses 1'!J3 = "Not Selected", 0, 0, TRUE)</f>
        <v>1</v>
      </c>
      <c r="K3" cm="1">
        <f t="array" ref="K3">_xlfn.IFS('Form responses 1'!K3 = "Selected", 1, 'Form responses 1'!K3 = "Not Selected", 0, 0, TRUE)</f>
        <v>0</v>
      </c>
      <c r="L3" cm="1">
        <f t="array" ref="L3">_xlfn.IFS('Form responses 1'!L3 = "Selected", 1, 'Form responses 1'!L3 = "Not Selected", 0, 0, TRUE)</f>
        <v>0</v>
      </c>
      <c r="M3" cm="1">
        <f t="array" ref="M3">_xlfn.IFS('Form responses 1'!M3 = "Selected", 1, 'Form responses 1'!M3 = "Not Selected", 0, 0, TRUE)</f>
        <v>0</v>
      </c>
      <c r="N3" cm="1">
        <f t="array" ref="N3">_xlfn.IFS('Form responses 1'!N3 = "Selected", 1, 'Form responses 1'!N3 = "Not Selected", 0, 0, TRUE)</f>
        <v>0</v>
      </c>
      <c r="O3" cm="1">
        <f t="array" ref="O3">_xlfn.IFS('Form responses 1'!O3 = "Yes", 1, 'Form responses 1'!O3 = "No", 2, 0, TRUE)</f>
        <v>2</v>
      </c>
      <c r="P3" cm="1">
        <f t="array" ref="P3">_xlfn.IFS('Form responses 1'!P3 = "Yes", 1, 'Form responses 1'!P3 = "No", 2, 'Form responses 1'!P3 = "Not sure", 3, 0, TRUE)</f>
        <v>2</v>
      </c>
      <c r="Q3" cm="1">
        <f t="array" ref="Q3">_xlfn.IFS('Form responses 1'!Q3 = "Yes", 1, 'Form responses 1'!Q3 = "No", 2, 0, TRUE)</f>
        <v>2</v>
      </c>
      <c r="R3" cm="1">
        <f t="array" ref="R3">_xlfn.IFS('Form responses 1'!R3 = "Yes", 1, 'Form responses 1'!R3 = "No", 2, 0, TRUE)</f>
        <v>2</v>
      </c>
      <c r="S3" cm="1">
        <f t="array" ref="S3">_xlfn.IFS('Form responses 1'!S3 = "Severely embarrassed", 1, 'Form responses 1'!S3 = "Somewhat uncomfortable", 2, 'Form responses 1'!S3= "Not affected", 3, 'Form responses 1'!S3= "Indifferent", 4, 0, TRUE)</f>
        <v>3</v>
      </c>
      <c r="T3" cm="1">
        <f t="array" ref="T3">_xlfn.IFS('Form responses 1'!T3 = "Yes", 1, 'Form responses 1'!T3 = "No", 2, 'Form responses 1'!T3 = "Not sure", 3, 0, TRUE)</f>
        <v>2</v>
      </c>
      <c r="U3" cm="1">
        <f t="array" ref="U3">_xlfn.IFS('Form responses 1'!U3 = "Strongly agree", 1, 'Form responses 1'!U3 = "Agree", 2, 'Form responses 1'!U3 = "Neutral", 3, 'Form responses 1'!U3 = "Disagree", 4, 0, TRUE)</f>
        <v>2</v>
      </c>
      <c r="V3" cm="1">
        <f t="array" ref="V3">_xlfn.IFS('Form responses 1'!V3 = "Selected", 1, 'Form responses 1'!V3 = "Not Selected", 0, 0, TRUE)</f>
        <v>0</v>
      </c>
      <c r="W3" cm="1">
        <f t="array" ref="W3">_xlfn.IFS('Form responses 1'!W3 = "Selected", 1, 'Form responses 1'!W3 = "Not Selected", 0, 0, TRUE)</f>
        <v>0</v>
      </c>
      <c r="X3" cm="1">
        <f t="array" ref="X3">_xlfn.IFS('Form responses 1'!X3 = "Selected", 1, 'Form responses 1'!X3 = "Not Selected", 0, 0, TRUE)</f>
        <v>0</v>
      </c>
      <c r="Y3" cm="1">
        <f t="array" ref="Y3">_xlfn.IFS('Form responses 1'!Y3 = "Selected", 1, 'Form responses 1'!Y3 = "Not Selected", 0, 0, TRUE)</f>
        <v>0</v>
      </c>
      <c r="Z3" cm="1">
        <f t="array" ref="Z3">_xlfn.IFS('Form responses 1'!Z3 = "Selected", 1, 'Form responses 1'!Z3 = "Not Selected", 0, 0, TRUE)</f>
        <v>1</v>
      </c>
      <c r="AA3" cm="1">
        <f t="array" ref="AA3">_xlfn.IFS('Form responses 1'!AA3 = "Very effective", 1, 'Form responses 1'!AA3 = "Somewhat effective", 2, 'Form responses 1'!AA3 = "Not effective", 3, 'Form responses 1'!AA3 = "Made it worse", 4, 0, TRUE)</f>
        <v>1</v>
      </c>
      <c r="AB3" cm="1">
        <f t="array" ref="AB3">_xlfn.IFS('Form responses 1'!AB3 = "Yes", 1, 'Form responses 1'!AB3 = "No", 2, 'Form responses 1'!AB3 = "Not sure", 3, 0, TRUE)</f>
        <v>1</v>
      </c>
      <c r="AC3" cm="1">
        <f t="array" ref="AC3">_xlfn.IFS('Form responses 1'!AC3 = "Yes", 1, 'Form responses 1'!AC3 = "No", 2, 0, TRUE)</f>
        <v>1</v>
      </c>
    </row>
    <row r="4" spans="1:29" x14ac:dyDescent="0.2">
      <c r="A4" cm="1">
        <f t="array" ref="A4">_xlfn.IFS('Form responses 1'!A4 = "18-24 years", 1, 'Form responses 1'!A4 = "25-34 years", 2, 'Form responses 1'!A4= "35-44 years", 3, 'Form responses 1'!A4= "45-54 years", 4, 'Form responses 1'!A4= "55-64 years", 5, 'Form responses 1'!A4= "65 &amp; above", 6, 0, TRUE)</f>
        <v>1</v>
      </c>
      <c r="B4" cm="1">
        <f t="array" ref="B4">_xlfn.IFS('Form responses 1'!B4 = "Female", 1, 'Form responses 1'!B4 = "Male", 2, 0, TRUE)</f>
        <v>2</v>
      </c>
      <c r="C4" t="s">
        <v>28</v>
      </c>
      <c r="D4" cm="1">
        <f t="array" ref="D4">_xlfn.IFS('Form responses 1'!D4 = "Once", 1, 'Form responses 1'!D4 = "Twice", 2, 'Form responses 1'!D4= "More than twice", 3, 'Form responses 1'!D4= "Occasionally", 4, 0, TRUE)</f>
        <v>2</v>
      </c>
      <c r="E4" cm="1">
        <f t="array" ref="E4">_xlfn.IFS('Form responses 1'!E4 = "Selected", 1, 'Form responses 1'!E4 = "Not Selected", 0, 0, TRUE)</f>
        <v>1</v>
      </c>
      <c r="F4" cm="1">
        <f t="array" ref="F4">_xlfn.IFS('Form responses 1'!F4 = "Selected", 1, 'Form responses 1'!F4 = "Not Selected", 0, 0, TRUE)</f>
        <v>1</v>
      </c>
      <c r="G4" cm="1">
        <f t="array" ref="G4">_xlfn.IFS('Form responses 1'!G4 = "Selected", 1, 'Form responses 1'!G4 = "Not Selected", 0, 0, TRUE)</f>
        <v>0</v>
      </c>
      <c r="H4" cm="1">
        <f t="array" ref="H4">_xlfn.IFS('Form responses 1'!H4 = "Selected", 1, 'Form responses 1'!H4 = "Not Selected", 0, 0, TRUE)</f>
        <v>0</v>
      </c>
      <c r="I4" cm="1">
        <f t="array" ref="I4">_xlfn.IFS('Form responses 1'!I4 = "Selected", 1, 'Form responses 1'!I4 = "Not Selected", 0, 0, TRUE)</f>
        <v>0</v>
      </c>
      <c r="J4" cm="1">
        <f t="array" ref="J4">_xlfn.IFS('Form responses 1'!J4 = "Selected", 1, 'Form responses 1'!J4 = "Not Selected", 0, 0, TRUE)</f>
        <v>1</v>
      </c>
      <c r="K4" cm="1">
        <f t="array" ref="K4">_xlfn.IFS('Form responses 1'!K4 = "Selected", 1, 'Form responses 1'!K4 = "Not Selected", 0, 0, TRUE)</f>
        <v>1</v>
      </c>
      <c r="L4" cm="1">
        <f t="array" ref="L4">_xlfn.IFS('Form responses 1'!L4 = "Selected", 1, 'Form responses 1'!L4 = "Not Selected", 0, 0, TRUE)</f>
        <v>0</v>
      </c>
      <c r="M4" cm="1">
        <f t="array" ref="M4">_xlfn.IFS('Form responses 1'!M4 = "Selected", 1, 'Form responses 1'!M4 = "Not Selected", 0, 0, TRUE)</f>
        <v>1</v>
      </c>
      <c r="N4" cm="1">
        <f t="array" ref="N4">_xlfn.IFS('Form responses 1'!N4 = "Selected", 1, 'Form responses 1'!N4 = "Not Selected", 0, 0, TRUE)</f>
        <v>0</v>
      </c>
      <c r="O4" cm="1">
        <f t="array" ref="O4">_xlfn.IFS('Form responses 1'!O4 = "Yes", 1, 'Form responses 1'!O4 = "No", 2, 0, TRUE)</f>
        <v>2</v>
      </c>
      <c r="P4" cm="1">
        <f t="array" ref="P4">_xlfn.IFS('Form responses 1'!P4 = "Yes", 1, 'Form responses 1'!P4 = "No", 2, 'Form responses 1'!P4 = "Not sure", 3, 0, TRUE)</f>
        <v>2</v>
      </c>
      <c r="Q4" cm="1">
        <f t="array" ref="Q4">_xlfn.IFS('Form responses 1'!Q4 = "Yes", 1, 'Form responses 1'!Q4 = "No", 2, 0, TRUE)</f>
        <v>2</v>
      </c>
      <c r="R4" cm="1">
        <f t="array" ref="R4">_xlfn.IFS('Form responses 1'!R4 = "Yes", 1, 'Form responses 1'!R4 = "No", 2, 0, TRUE)</f>
        <v>2</v>
      </c>
      <c r="S4" cm="1">
        <f t="array" ref="S4">_xlfn.IFS('Form responses 1'!S4 = "Severely embarrassed", 1, 'Form responses 1'!S4 = "Somewhat uncomfortable", 2, 'Form responses 1'!S4= "Not affected", 3, 'Form responses 1'!S4= "Indifferent", 4, 0, TRUE)</f>
        <v>3</v>
      </c>
      <c r="T4" cm="1">
        <f t="array" ref="T4">_xlfn.IFS('Form responses 1'!T4 = "Yes", 1, 'Form responses 1'!T4 = "No", 2, 'Form responses 1'!T4 = "Not sure", 3, 0, TRUE)</f>
        <v>2</v>
      </c>
      <c r="U4" cm="1">
        <f t="array" ref="U4">_xlfn.IFS('Form responses 1'!U4 = "Strongly agree", 1, 'Form responses 1'!U4 = "Agree", 2, 'Form responses 1'!U4 = "Neutral", 3, 'Form responses 1'!U4 = "Disagree", 4, 0, TRUE)</f>
        <v>2</v>
      </c>
      <c r="V4" cm="1">
        <f t="array" ref="V4">_xlfn.IFS('Form responses 1'!V4 = "Selected", 1, 'Form responses 1'!V4 = "Not Selected", 0, 0, TRUE)</f>
        <v>0</v>
      </c>
      <c r="W4" cm="1">
        <f t="array" ref="W4">_xlfn.IFS('Form responses 1'!W4 = "Selected", 1, 'Form responses 1'!W4 = "Not Selected", 0, 0, TRUE)</f>
        <v>0</v>
      </c>
      <c r="X4" cm="1">
        <f t="array" ref="X4">_xlfn.IFS('Form responses 1'!X4 = "Selected", 1, 'Form responses 1'!X4 = "Not Selected", 0, 0, TRUE)</f>
        <v>0</v>
      </c>
      <c r="Y4" cm="1">
        <f t="array" ref="Y4">_xlfn.IFS('Form responses 1'!Y4 = "Selected", 1, 'Form responses 1'!Y4 = "Not Selected", 0, 0, TRUE)</f>
        <v>0</v>
      </c>
      <c r="Z4" cm="1">
        <f t="array" ref="Z4">_xlfn.IFS('Form responses 1'!Z4 = "Selected", 1, 'Form responses 1'!Z4 = "Not Selected", 0, 0, TRUE)</f>
        <v>1</v>
      </c>
      <c r="AA4" cm="1">
        <f t="array" ref="AA4">_xlfn.IFS('Form responses 1'!AA4 = "Very effective", 1, 'Form responses 1'!AA4 = "Somewhat effective", 2, 'Form responses 1'!AA4 = "Not effective", 3, 'Form responses 1'!AA4 = "Made it worse", 4, 0, TRUE)</f>
        <v>1</v>
      </c>
      <c r="AB4" cm="1">
        <f t="array" ref="AB4">_xlfn.IFS('Form responses 1'!AB4 = "Yes", 1, 'Form responses 1'!AB4 = "No", 2, 'Form responses 1'!AB4 = "Not sure", 3, 0, TRUE)</f>
        <v>3</v>
      </c>
      <c r="AC4" cm="1">
        <f t="array" ref="AC4">_xlfn.IFS('Form responses 1'!AC4 = "Yes", 1, 'Form responses 1'!AC4 = "No", 2, 0, TRUE)</f>
        <v>1</v>
      </c>
    </row>
    <row r="5" spans="1:29" x14ac:dyDescent="0.2">
      <c r="A5" cm="1">
        <f t="array" ref="A5">_xlfn.IFS('Form responses 1'!A5 = "18-24 years", 1, 'Form responses 1'!A5 = "25-34 years", 2, 'Form responses 1'!A5= "35-44 years", 3, 'Form responses 1'!A5= "45-54 years", 4, 'Form responses 1'!A5= "55-64 years", 5, 'Form responses 1'!A5= "65 &amp; above", 6, 0, TRUE)</f>
        <v>2</v>
      </c>
      <c r="B5" cm="1">
        <f t="array" ref="B5">_xlfn.IFS('Form responses 1'!B5 = "Female", 1, 'Form responses 1'!B5 = "Male", 2, 0, TRUE)</f>
        <v>1</v>
      </c>
      <c r="C5" t="s">
        <v>30</v>
      </c>
      <c r="D5" cm="1">
        <f t="array" ref="D5">_xlfn.IFS('Form responses 1'!D5 = "Once", 1, 'Form responses 1'!D5 = "Twice", 2, 'Form responses 1'!D5= "More than twice", 3, 'Form responses 1'!D5= "Occasionally", 4, 0, TRUE)</f>
        <v>2</v>
      </c>
      <c r="E5" cm="1">
        <f t="array" ref="E5">_xlfn.IFS('Form responses 1'!E5 = "Selected", 1, 'Form responses 1'!E5 = "Not Selected", 0, 0, TRUE)</f>
        <v>0</v>
      </c>
      <c r="F5" cm="1">
        <f t="array" ref="F5">_xlfn.IFS('Form responses 1'!F5 = "Selected", 1, 'Form responses 1'!F5 = "Not Selected", 0, 0, TRUE)</f>
        <v>1</v>
      </c>
      <c r="G5" cm="1">
        <f t="array" ref="G5">_xlfn.IFS('Form responses 1'!G5 = "Selected", 1, 'Form responses 1'!G5 = "Not Selected", 0, 0, TRUE)</f>
        <v>0</v>
      </c>
      <c r="H5" cm="1">
        <f t="array" ref="H5">_xlfn.IFS('Form responses 1'!H5 = "Selected", 1, 'Form responses 1'!H5 = "Not Selected", 0, 0, TRUE)</f>
        <v>0</v>
      </c>
      <c r="I5" cm="1">
        <f t="array" ref="I5">_xlfn.IFS('Form responses 1'!I5 = "Selected", 1, 'Form responses 1'!I5 = "Not Selected", 0, 0, TRUE)</f>
        <v>0</v>
      </c>
      <c r="J5" cm="1">
        <f t="array" ref="J5">_xlfn.IFS('Form responses 1'!J5 = "Selected", 1, 'Form responses 1'!J5 = "Not Selected", 0, 0, TRUE)</f>
        <v>0</v>
      </c>
      <c r="K5" cm="1">
        <f t="array" ref="K5">_xlfn.IFS('Form responses 1'!K5 = "Selected", 1, 'Form responses 1'!K5 = "Not Selected", 0, 0, TRUE)</f>
        <v>1</v>
      </c>
      <c r="L5" cm="1">
        <f t="array" ref="L5">_xlfn.IFS('Form responses 1'!L5 = "Selected", 1, 'Form responses 1'!L5 = "Not Selected", 0, 0, TRUE)</f>
        <v>1</v>
      </c>
      <c r="M5" cm="1">
        <f t="array" ref="M5">_xlfn.IFS('Form responses 1'!M5 = "Selected", 1, 'Form responses 1'!M5 = "Not Selected", 0, 0, TRUE)</f>
        <v>1</v>
      </c>
      <c r="N5" cm="1">
        <f t="array" ref="N5">_xlfn.IFS('Form responses 1'!N5 = "Selected", 1, 'Form responses 1'!N5 = "Not Selected", 0, 0, TRUE)</f>
        <v>0</v>
      </c>
      <c r="O5" cm="1">
        <f t="array" ref="O5">_xlfn.IFS('Form responses 1'!O5 = "Yes", 1, 'Form responses 1'!O5 = "No", 2, 0, TRUE)</f>
        <v>2</v>
      </c>
      <c r="P5" cm="1">
        <f t="array" ref="P5">_xlfn.IFS('Form responses 1'!P5 = "Yes", 1, 'Form responses 1'!P5 = "No", 2, 'Form responses 1'!P5 = "Not sure", 3, 0, TRUE)</f>
        <v>2</v>
      </c>
      <c r="Q5" cm="1">
        <f t="array" ref="Q5">_xlfn.IFS('Form responses 1'!Q5 = "Yes", 1, 'Form responses 1'!Q5 = "No", 2, 0, TRUE)</f>
        <v>2</v>
      </c>
      <c r="R5" cm="1">
        <f t="array" ref="R5">_xlfn.IFS('Form responses 1'!R5 = "Yes", 1, 'Form responses 1'!R5 = "No", 2, 0, TRUE)</f>
        <v>2</v>
      </c>
      <c r="S5" cm="1">
        <f t="array" ref="S5">_xlfn.IFS('Form responses 1'!S5 = "Severely embarrassed", 1, 'Form responses 1'!S5 = "Somewhat uncomfortable", 2, 'Form responses 1'!S5= "Not affected", 3, 'Form responses 1'!S5= "Indifferent", 4, 0, TRUE)</f>
        <v>3</v>
      </c>
      <c r="T5" cm="1">
        <f t="array" ref="T5">_xlfn.IFS('Form responses 1'!T5 = "Yes", 1, 'Form responses 1'!T5 = "No", 2, 'Form responses 1'!T5 = "Not sure", 3, 0, TRUE)</f>
        <v>2</v>
      </c>
      <c r="U5" cm="1">
        <f t="array" ref="U5">_xlfn.IFS('Form responses 1'!U5 = "Strongly agree", 1, 'Form responses 1'!U5 = "Agree", 2, 'Form responses 1'!U5 = "Neutral", 3, 'Form responses 1'!U5 = "Disagree", 4, 0, TRUE)</f>
        <v>2</v>
      </c>
      <c r="V5" cm="1">
        <f t="array" ref="V5">_xlfn.IFS('Form responses 1'!V5 = "Selected", 1, 'Form responses 1'!V5 = "Not Selected", 0, 0, TRUE)</f>
        <v>0</v>
      </c>
      <c r="W5" cm="1">
        <f t="array" ref="W5">_xlfn.IFS('Form responses 1'!W5 = "Selected", 1, 'Form responses 1'!W5 = "Not Selected", 0, 0, TRUE)</f>
        <v>0</v>
      </c>
      <c r="X5" cm="1">
        <f t="array" ref="X5">_xlfn.IFS('Form responses 1'!X5 = "Selected", 1, 'Form responses 1'!X5 = "Not Selected", 0, 0, TRUE)</f>
        <v>0</v>
      </c>
      <c r="Y5" cm="1">
        <f t="array" ref="Y5">_xlfn.IFS('Form responses 1'!Y5 = "Selected", 1, 'Form responses 1'!Y5 = "Not Selected", 0, 0, TRUE)</f>
        <v>0</v>
      </c>
      <c r="Z5" cm="1">
        <f t="array" ref="Z5">_xlfn.IFS('Form responses 1'!Z5 = "Selected", 1, 'Form responses 1'!Z5 = "Not Selected", 0, 0, TRUE)</f>
        <v>1</v>
      </c>
      <c r="AA5" cm="1">
        <f t="array" ref="AA5">_xlfn.IFS('Form responses 1'!AA5 = "Very effective", 1, 'Form responses 1'!AA5 = "Somewhat effective", 2, 'Form responses 1'!AA5 = "Not effective", 3, 'Form responses 1'!AA5 = "Made it worse", 4, 0, TRUE)</f>
        <v>1</v>
      </c>
      <c r="AB5" cm="1">
        <f t="array" ref="AB5">_xlfn.IFS('Form responses 1'!AB5 = "Yes", 1, 'Form responses 1'!AB5 = "No", 2, 'Form responses 1'!AB5 = "Not sure", 3, 0, TRUE)</f>
        <v>1</v>
      </c>
      <c r="AC5" cm="1">
        <f t="array" ref="AC5">_xlfn.IFS('Form responses 1'!AC5 = "Yes", 1, 'Form responses 1'!AC5 = "No", 2, 0, TRUE)</f>
        <v>1</v>
      </c>
    </row>
    <row r="6" spans="1:29" x14ac:dyDescent="0.2">
      <c r="A6" cm="1">
        <f t="array" ref="A6">_xlfn.IFS('Form responses 1'!A6 = "18-24 years", 1, 'Form responses 1'!A6 = "25-34 years", 2, 'Form responses 1'!A6= "35-44 years", 3, 'Form responses 1'!A6= "45-54 years", 4, 'Form responses 1'!A6= "55-64 years", 5, 'Form responses 1'!A6= "65 &amp; above", 6, 0, TRUE)</f>
        <v>1</v>
      </c>
      <c r="B6" cm="1">
        <f t="array" ref="B6">_xlfn.IFS('Form responses 1'!B6 = "Female", 1, 'Form responses 1'!B6 = "Male", 2, 0, TRUE)</f>
        <v>1</v>
      </c>
      <c r="C6" t="s">
        <v>31</v>
      </c>
      <c r="D6" cm="1">
        <f t="array" ref="D6">_xlfn.IFS('Form responses 1'!D6 = "Once", 1, 'Form responses 1'!D6 = "Twice", 2, 'Form responses 1'!D6= "More than twice", 3, 'Form responses 1'!D6= "Occasionally", 4, 0, TRUE)</f>
        <v>2</v>
      </c>
      <c r="E6" cm="1">
        <f t="array" ref="E6">_xlfn.IFS('Form responses 1'!E6 = "Selected", 1, 'Form responses 1'!E6 = "Not Selected", 0, 0, TRUE)</f>
        <v>0</v>
      </c>
      <c r="F6" cm="1">
        <f t="array" ref="F6">_xlfn.IFS('Form responses 1'!F6 = "Selected", 1, 'Form responses 1'!F6 = "Not Selected", 0, 0, TRUE)</f>
        <v>1</v>
      </c>
      <c r="G6" cm="1">
        <f t="array" ref="G6">_xlfn.IFS('Form responses 1'!G6 = "Selected", 1, 'Form responses 1'!G6 = "Not Selected", 0, 0, TRUE)</f>
        <v>0</v>
      </c>
      <c r="H6" cm="1">
        <f t="array" ref="H6">_xlfn.IFS('Form responses 1'!H6 = "Selected", 1, 'Form responses 1'!H6 = "Not Selected", 0, 0, TRUE)</f>
        <v>0</v>
      </c>
      <c r="I6" cm="1">
        <f t="array" ref="I6">_xlfn.IFS('Form responses 1'!I6 = "Selected", 1, 'Form responses 1'!I6 = "Not Selected", 0, 0, TRUE)</f>
        <v>0</v>
      </c>
      <c r="J6" cm="1">
        <f t="array" ref="J6">_xlfn.IFS('Form responses 1'!J6 = "Selected", 1, 'Form responses 1'!J6 = "Not Selected", 0, 0, TRUE)</f>
        <v>1</v>
      </c>
      <c r="K6" cm="1">
        <f t="array" ref="K6">_xlfn.IFS('Form responses 1'!K6 = "Selected", 1, 'Form responses 1'!K6 = "Not Selected", 0, 0, TRUE)</f>
        <v>1</v>
      </c>
      <c r="L6" cm="1">
        <f t="array" ref="L6">_xlfn.IFS('Form responses 1'!L6 = "Selected", 1, 'Form responses 1'!L6 = "Not Selected", 0, 0, TRUE)</f>
        <v>0</v>
      </c>
      <c r="M6" cm="1">
        <f t="array" ref="M6">_xlfn.IFS('Form responses 1'!M6 = "Selected", 1, 'Form responses 1'!M6 = "Not Selected", 0, 0, TRUE)</f>
        <v>0</v>
      </c>
      <c r="N6" cm="1">
        <f t="array" ref="N6">_xlfn.IFS('Form responses 1'!N6 = "Selected", 1, 'Form responses 1'!N6 = "Not Selected", 0, 0, TRUE)</f>
        <v>0</v>
      </c>
      <c r="O6" cm="1">
        <f t="array" ref="O6">_xlfn.IFS('Form responses 1'!O6 = "Yes", 1, 'Form responses 1'!O6 = "No", 2, 0, TRUE)</f>
        <v>2</v>
      </c>
      <c r="P6" cm="1">
        <f t="array" ref="P6">_xlfn.IFS('Form responses 1'!P6 = "Yes", 1, 'Form responses 1'!P6 = "No", 2, 'Form responses 1'!P6 = "Not sure", 3, 0, TRUE)</f>
        <v>2</v>
      </c>
      <c r="Q6" cm="1">
        <f t="array" ref="Q6">_xlfn.IFS('Form responses 1'!Q6 = "Yes", 1, 'Form responses 1'!Q6 = "No", 2, 0, TRUE)</f>
        <v>1</v>
      </c>
      <c r="R6" cm="1">
        <f t="array" ref="R6">_xlfn.IFS('Form responses 1'!R6 = "Yes", 1, 'Form responses 1'!R6 = "No", 2, 0, TRUE)</f>
        <v>2</v>
      </c>
      <c r="S6" cm="1">
        <f t="array" ref="S6">_xlfn.IFS('Form responses 1'!S6 = "Severely embarrassed", 1, 'Form responses 1'!S6 = "Somewhat uncomfortable", 2, 'Form responses 1'!S6= "Not affected", 3, 'Form responses 1'!S6= "Indifferent", 4, 0, TRUE)</f>
        <v>3</v>
      </c>
      <c r="T6" cm="1">
        <f t="array" ref="T6">_xlfn.IFS('Form responses 1'!T6 = "Yes", 1, 'Form responses 1'!T6 = "No", 2, 'Form responses 1'!T6 = "Not sure", 3, 0, TRUE)</f>
        <v>2</v>
      </c>
      <c r="U6" cm="1">
        <f t="array" ref="U6">_xlfn.IFS('Form responses 1'!U6 = "Strongly agree", 1, 'Form responses 1'!U6 = "Agree", 2, 'Form responses 1'!U6 = "Neutral", 3, 'Form responses 1'!U6 = "Disagree", 4, 0, TRUE)</f>
        <v>1</v>
      </c>
      <c r="V6" cm="1">
        <f t="array" ref="V6">_xlfn.IFS('Form responses 1'!V6 = "Selected", 1, 'Form responses 1'!V6 = "Not Selected", 0, 0, TRUE)</f>
        <v>1</v>
      </c>
      <c r="W6" cm="1">
        <f t="array" ref="W6">_xlfn.IFS('Form responses 1'!W6 = "Selected", 1, 'Form responses 1'!W6 = "Not Selected", 0, 0, TRUE)</f>
        <v>0</v>
      </c>
      <c r="X6" cm="1">
        <f t="array" ref="X6">_xlfn.IFS('Form responses 1'!X6 = "Selected", 1, 'Form responses 1'!X6 = "Not Selected", 0, 0, TRUE)</f>
        <v>0</v>
      </c>
      <c r="Y6" cm="1">
        <f t="array" ref="Y6">_xlfn.IFS('Form responses 1'!Y6 = "Selected", 1, 'Form responses 1'!Y6 = "Not Selected", 0, 0, TRUE)</f>
        <v>0</v>
      </c>
      <c r="Z6" cm="1">
        <f t="array" ref="Z6">_xlfn.IFS('Form responses 1'!Z6 = "Selected", 1, 'Form responses 1'!Z6 = "Not Selected", 0, 0, TRUE)</f>
        <v>1</v>
      </c>
      <c r="AA6" cm="1">
        <f t="array" ref="AA6">_xlfn.IFS('Form responses 1'!AA6 = "Very effective", 1, 'Form responses 1'!AA6 = "Somewhat effective", 2, 'Form responses 1'!AA6 = "Not effective", 3, 'Form responses 1'!AA6 = "Made it worse", 4, 0, TRUE)</f>
        <v>1</v>
      </c>
      <c r="AB6" cm="1">
        <f t="array" ref="AB6">_xlfn.IFS('Form responses 1'!AB6 = "Yes", 1, 'Form responses 1'!AB6 = "No", 2, 'Form responses 1'!AB6 = "Not sure", 3, 0, TRUE)</f>
        <v>1</v>
      </c>
      <c r="AC6" cm="1">
        <f t="array" ref="AC6">_xlfn.IFS('Form responses 1'!AC6 = "Yes", 1, 'Form responses 1'!AC6 = "No", 2, 0, TRUE)</f>
        <v>1</v>
      </c>
    </row>
    <row r="7" spans="1:29" x14ac:dyDescent="0.2">
      <c r="A7" cm="1">
        <f t="array" ref="A7">_xlfn.IFS('Form responses 1'!A7 = "18-24 years", 1, 'Form responses 1'!A7 = "25-34 years", 2, 'Form responses 1'!A7= "35-44 years", 3, 'Form responses 1'!A7= "45-54 years", 4, 'Form responses 1'!A7= "55-64 years", 5, 'Form responses 1'!A7= "65 &amp; above", 6, 0, TRUE)</f>
        <v>2</v>
      </c>
      <c r="B7" cm="1">
        <f t="array" ref="B7">_xlfn.IFS('Form responses 1'!B7 = "Female", 1, 'Form responses 1'!B7 = "Male", 2, 0, TRUE)</f>
        <v>1</v>
      </c>
      <c r="C7" t="s">
        <v>33</v>
      </c>
      <c r="D7" cm="1">
        <f t="array" ref="D7">_xlfn.IFS('Form responses 1'!D7 = "Once", 1, 'Form responses 1'!D7 = "Twice", 2, 'Form responses 1'!D7= "More than twice", 3, 'Form responses 1'!D7= "Occasionally", 4, 0, TRUE)</f>
        <v>2</v>
      </c>
      <c r="E7" cm="1">
        <f t="array" ref="E7">_xlfn.IFS('Form responses 1'!E7 = "Selected", 1, 'Form responses 1'!E7 = "Not Selected", 0, 0, TRUE)</f>
        <v>0</v>
      </c>
      <c r="F7" cm="1">
        <f t="array" ref="F7">_xlfn.IFS('Form responses 1'!F7 = "Selected", 1, 'Form responses 1'!F7 = "Not Selected", 0, 0, TRUE)</f>
        <v>1</v>
      </c>
      <c r="G7" cm="1">
        <f t="array" ref="G7">_xlfn.IFS('Form responses 1'!G7 = "Selected", 1, 'Form responses 1'!G7 = "Not Selected", 0, 0, TRUE)</f>
        <v>0</v>
      </c>
      <c r="H7" cm="1">
        <f t="array" ref="H7">_xlfn.IFS('Form responses 1'!H7 = "Selected", 1, 'Form responses 1'!H7 = "Not Selected", 0, 0, TRUE)</f>
        <v>1</v>
      </c>
      <c r="I7" cm="1">
        <f t="array" ref="I7">_xlfn.IFS('Form responses 1'!I7 = "Selected", 1, 'Form responses 1'!I7 = "Not Selected", 0, 0, TRUE)</f>
        <v>0</v>
      </c>
      <c r="J7" cm="1">
        <f t="array" ref="J7">_xlfn.IFS('Form responses 1'!J7 = "Selected", 1, 'Form responses 1'!J7 = "Not Selected", 0, 0, TRUE)</f>
        <v>1</v>
      </c>
      <c r="K7" cm="1">
        <f t="array" ref="K7">_xlfn.IFS('Form responses 1'!K7 = "Selected", 1, 'Form responses 1'!K7 = "Not Selected", 0, 0, TRUE)</f>
        <v>1</v>
      </c>
      <c r="L7" cm="1">
        <f t="array" ref="L7">_xlfn.IFS('Form responses 1'!L7 = "Selected", 1, 'Form responses 1'!L7 = "Not Selected", 0, 0, TRUE)</f>
        <v>1</v>
      </c>
      <c r="M7" cm="1">
        <f t="array" ref="M7">_xlfn.IFS('Form responses 1'!M7 = "Selected", 1, 'Form responses 1'!M7 = "Not Selected", 0, 0, TRUE)</f>
        <v>1</v>
      </c>
      <c r="N7" cm="1">
        <f t="array" ref="N7">_xlfn.IFS('Form responses 1'!N7 = "Selected", 1, 'Form responses 1'!N7 = "Not Selected", 0, 0, TRUE)</f>
        <v>1</v>
      </c>
      <c r="O7" cm="1">
        <f t="array" ref="O7">_xlfn.IFS('Form responses 1'!O7 = "Yes", 1, 'Form responses 1'!O7 = "No", 2, 0, TRUE)</f>
        <v>2</v>
      </c>
      <c r="P7" cm="1">
        <f t="array" ref="P7">_xlfn.IFS('Form responses 1'!P7 = "Yes", 1, 'Form responses 1'!P7 = "No", 2, 'Form responses 1'!P7 = "Not sure", 3, 0, TRUE)</f>
        <v>2</v>
      </c>
      <c r="Q7" cm="1">
        <f t="array" ref="Q7">_xlfn.IFS('Form responses 1'!Q7 = "Yes", 1, 'Form responses 1'!Q7 = "No", 2, 0, TRUE)</f>
        <v>2</v>
      </c>
      <c r="R7" cm="1">
        <f t="array" ref="R7">_xlfn.IFS('Form responses 1'!R7 = "Yes", 1, 'Form responses 1'!R7 = "No", 2, 0, TRUE)</f>
        <v>1</v>
      </c>
      <c r="S7" cm="1">
        <f t="array" ref="S7">_xlfn.IFS('Form responses 1'!S7 = "Severely embarrassed", 1, 'Form responses 1'!S7 = "Somewhat uncomfortable", 2, 'Form responses 1'!S7= "Not affected", 3, 'Form responses 1'!S7= "Indifferent", 4, 0, TRUE)</f>
        <v>1</v>
      </c>
      <c r="T7" cm="1">
        <f t="array" ref="T7">_xlfn.IFS('Form responses 1'!T7 = "Yes", 1, 'Form responses 1'!T7 = "No", 2, 'Form responses 1'!T7 = "Not sure", 3, 0, TRUE)</f>
        <v>2</v>
      </c>
      <c r="U7" cm="1">
        <f t="array" ref="U7">_xlfn.IFS('Form responses 1'!U7 = "Strongly agree", 1, 'Form responses 1'!U7 = "Agree", 2, 'Form responses 1'!U7 = "Neutral", 3, 'Form responses 1'!U7 = "Disagree", 4, 0, TRUE)</f>
        <v>2</v>
      </c>
      <c r="V7" cm="1">
        <f t="array" ref="V7">_xlfn.IFS('Form responses 1'!V7 = "Selected", 1, 'Form responses 1'!V7 = "Not Selected", 0, 0, TRUE)</f>
        <v>1</v>
      </c>
      <c r="W7" cm="1">
        <f t="array" ref="W7">_xlfn.IFS('Form responses 1'!W7 = "Selected", 1, 'Form responses 1'!W7 = "Not Selected", 0, 0, TRUE)</f>
        <v>0</v>
      </c>
      <c r="X7" cm="1">
        <f t="array" ref="X7">_xlfn.IFS('Form responses 1'!X7 = "Selected", 1, 'Form responses 1'!X7 = "Not Selected", 0, 0, TRUE)</f>
        <v>0</v>
      </c>
      <c r="Y7" cm="1">
        <f t="array" ref="Y7">_xlfn.IFS('Form responses 1'!Y7 = "Selected", 1, 'Form responses 1'!Y7 = "Not Selected", 0, 0, TRUE)</f>
        <v>0</v>
      </c>
      <c r="Z7" cm="1">
        <f t="array" ref="Z7">_xlfn.IFS('Form responses 1'!Z7 = "Selected", 1, 'Form responses 1'!Z7 = "Not Selected", 0, 0, TRUE)</f>
        <v>1</v>
      </c>
      <c r="AA7" cm="1">
        <f t="array" ref="AA7">_xlfn.IFS('Form responses 1'!AA7 = "Very effective", 1, 'Form responses 1'!AA7 = "Somewhat effective", 2, 'Form responses 1'!AA7 = "Not effective", 3, 'Form responses 1'!AA7 = "Made it worse", 4, 0, TRUE)</f>
        <v>1</v>
      </c>
      <c r="AB7" cm="1">
        <f t="array" ref="AB7">_xlfn.IFS('Form responses 1'!AB7 = "Yes", 1, 'Form responses 1'!AB7 = "No", 2, 'Form responses 1'!AB7 = "Not sure", 3, 0, TRUE)</f>
        <v>1</v>
      </c>
      <c r="AC7" cm="1">
        <f t="array" ref="AC7">_xlfn.IFS('Form responses 1'!AC7 = "Yes", 1, 'Form responses 1'!AC7 = "No", 2, 0, TRUE)</f>
        <v>1</v>
      </c>
    </row>
    <row r="8" spans="1:29" x14ac:dyDescent="0.2">
      <c r="A8" cm="1">
        <f t="array" ref="A8">_xlfn.IFS('Form responses 1'!A8 = "18-24 years", 1, 'Form responses 1'!A8 = "25-34 years", 2, 'Form responses 1'!A8= "35-44 years", 3, 'Form responses 1'!A8= "45-54 years", 4, 'Form responses 1'!A8= "55-64 years", 5, 'Form responses 1'!A8= "65 &amp; above", 6, 0, TRUE)</f>
        <v>2</v>
      </c>
      <c r="B8" cm="1">
        <f t="array" ref="B8">_xlfn.IFS('Form responses 1'!B8 = "Female", 1, 'Form responses 1'!B8 = "Male", 2, 0, TRUE)</f>
        <v>2</v>
      </c>
      <c r="C8" t="s">
        <v>35</v>
      </c>
      <c r="D8" cm="1">
        <f t="array" ref="D8">_xlfn.IFS('Form responses 1'!D8 = "Once", 1, 'Form responses 1'!D8 = "Twice", 2, 'Form responses 1'!D8= "More than twice", 3, 'Form responses 1'!D8= "Occasionally", 4, 0, TRUE)</f>
        <v>2</v>
      </c>
      <c r="E8" cm="1">
        <f t="array" ref="E8">_xlfn.IFS('Form responses 1'!E8 = "Selected", 1, 'Form responses 1'!E8 = "Not Selected", 0, 0, TRUE)</f>
        <v>0</v>
      </c>
      <c r="F8" cm="1">
        <f t="array" ref="F8">_xlfn.IFS('Form responses 1'!F8 = "Selected", 1, 'Form responses 1'!F8 = "Not Selected", 0, 0, TRUE)</f>
        <v>1</v>
      </c>
      <c r="G8" cm="1">
        <f t="array" ref="G8">_xlfn.IFS('Form responses 1'!G8 = "Selected", 1, 'Form responses 1'!G8 = "Not Selected", 0, 0, TRUE)</f>
        <v>0</v>
      </c>
      <c r="H8" cm="1">
        <f t="array" ref="H8">_xlfn.IFS('Form responses 1'!H8 = "Selected", 1, 'Form responses 1'!H8 = "Not Selected", 0, 0, TRUE)</f>
        <v>0</v>
      </c>
      <c r="I8" cm="1">
        <f t="array" ref="I8">_xlfn.IFS('Form responses 1'!I8 = "Selected", 1, 'Form responses 1'!I8 = "Not Selected", 0, 0, TRUE)</f>
        <v>0</v>
      </c>
      <c r="J8" cm="1">
        <f t="array" ref="J8">_xlfn.IFS('Form responses 1'!J8 = "Selected", 1, 'Form responses 1'!J8 = "Not Selected", 0, 0, TRUE)</f>
        <v>1</v>
      </c>
      <c r="K8" cm="1">
        <f t="array" ref="K8">_xlfn.IFS('Form responses 1'!K8 = "Selected", 1, 'Form responses 1'!K8 = "Not Selected", 0, 0, TRUE)</f>
        <v>0</v>
      </c>
      <c r="L8" cm="1">
        <f t="array" ref="L8">_xlfn.IFS('Form responses 1'!L8 = "Selected", 1, 'Form responses 1'!L8 = "Not Selected", 0, 0, TRUE)</f>
        <v>0</v>
      </c>
      <c r="M8" cm="1">
        <f t="array" ref="M8">_xlfn.IFS('Form responses 1'!M8 = "Selected", 1, 'Form responses 1'!M8 = "Not Selected", 0, 0, TRUE)</f>
        <v>0</v>
      </c>
      <c r="N8" cm="1">
        <f t="array" ref="N8">_xlfn.IFS('Form responses 1'!N8 = "Selected", 1, 'Form responses 1'!N8 = "Not Selected", 0, 0, TRUE)</f>
        <v>0</v>
      </c>
      <c r="O8" cm="1">
        <f t="array" ref="O8">_xlfn.IFS('Form responses 1'!O8 = "Yes", 1, 'Form responses 1'!O8 = "No", 2, 0, TRUE)</f>
        <v>2</v>
      </c>
      <c r="P8" cm="1">
        <f t="array" ref="P8">_xlfn.IFS('Form responses 1'!P8 = "Yes", 1, 'Form responses 1'!P8 = "No", 2, 'Form responses 1'!P8 = "Not sure", 3, 0, TRUE)</f>
        <v>1</v>
      </c>
      <c r="Q8" cm="1">
        <f t="array" ref="Q8">_xlfn.IFS('Form responses 1'!Q8 = "Yes", 1, 'Form responses 1'!Q8 = "No", 2, 0, TRUE)</f>
        <v>2</v>
      </c>
      <c r="R8" cm="1">
        <f t="array" ref="R8">_xlfn.IFS('Form responses 1'!R8 = "Yes", 1, 'Form responses 1'!R8 = "No", 2, 0, TRUE)</f>
        <v>2</v>
      </c>
      <c r="S8" cm="1">
        <f t="array" ref="S8">_xlfn.IFS('Form responses 1'!S8 = "Severely embarrassed", 1, 'Form responses 1'!S8 = "Somewhat uncomfortable", 2, 'Form responses 1'!S8= "Not affected", 3, 'Form responses 1'!S8= "Indifferent", 4, 0, TRUE)</f>
        <v>3</v>
      </c>
      <c r="T8" cm="1">
        <f t="array" ref="T8">_xlfn.IFS('Form responses 1'!T8 = "Yes", 1, 'Form responses 1'!T8 = "No", 2, 'Form responses 1'!T8 = "Not sure", 3, 0, TRUE)</f>
        <v>2</v>
      </c>
      <c r="U8" cm="1">
        <f t="array" ref="U8">_xlfn.IFS('Form responses 1'!U8 = "Strongly agree", 1, 'Form responses 1'!U8 = "Agree", 2, 'Form responses 1'!U8 = "Neutral", 3, 'Form responses 1'!U8 = "Disagree", 4, 0, TRUE)</f>
        <v>2</v>
      </c>
      <c r="V8" cm="1">
        <f t="array" ref="V8">_xlfn.IFS('Form responses 1'!V8 = "Selected", 1, 'Form responses 1'!V8 = "Not Selected", 0, 0, TRUE)</f>
        <v>1</v>
      </c>
      <c r="W8" cm="1">
        <f t="array" ref="W8">_xlfn.IFS('Form responses 1'!W8 = "Selected", 1, 'Form responses 1'!W8 = "Not Selected", 0, 0, TRUE)</f>
        <v>0</v>
      </c>
      <c r="X8" cm="1">
        <f t="array" ref="X8">_xlfn.IFS('Form responses 1'!X8 = "Selected", 1, 'Form responses 1'!X8 = "Not Selected", 0, 0, TRUE)</f>
        <v>0</v>
      </c>
      <c r="Y8" cm="1">
        <f t="array" ref="Y8">_xlfn.IFS('Form responses 1'!Y8 = "Selected", 1, 'Form responses 1'!Y8 = "Not Selected", 0, 0, TRUE)</f>
        <v>0</v>
      </c>
      <c r="Z8" cm="1">
        <f t="array" ref="Z8">_xlfn.IFS('Form responses 1'!Z8 = "Selected", 1, 'Form responses 1'!Z8 = "Not Selected", 0, 0, TRUE)</f>
        <v>0</v>
      </c>
      <c r="AA8" cm="1">
        <f t="array" ref="AA8">_xlfn.IFS('Form responses 1'!AA8 = "Very effective", 1, 'Form responses 1'!AA8 = "Somewhat effective", 2, 'Form responses 1'!AA8 = "Not effective", 3, 'Form responses 1'!AA8 = "Made it worse", 4, 0, TRUE)</f>
        <v>1</v>
      </c>
      <c r="AB8" cm="1">
        <f t="array" ref="AB8">_xlfn.IFS('Form responses 1'!AB8 = "Yes", 1, 'Form responses 1'!AB8 = "No", 2, 'Form responses 1'!AB8 = "Not sure", 3, 0, TRUE)</f>
        <v>1</v>
      </c>
      <c r="AC8" cm="1">
        <f t="array" ref="AC8">_xlfn.IFS('Form responses 1'!AC8 = "Yes", 1, 'Form responses 1'!AC8 = "No", 2, 0, TRUE)</f>
        <v>1</v>
      </c>
    </row>
    <row r="9" spans="1:29" x14ac:dyDescent="0.2">
      <c r="A9" cm="1">
        <f t="array" ref="A9">_xlfn.IFS('Form responses 1'!A9 = "18-24 years", 1, 'Form responses 1'!A9 = "25-34 years", 2, 'Form responses 1'!A9= "35-44 years", 3, 'Form responses 1'!A9= "45-54 years", 4, 'Form responses 1'!A9= "55-64 years", 5, 'Form responses 1'!A9= "65 &amp; above", 6, 0, TRUE)</f>
        <v>1</v>
      </c>
      <c r="B9" cm="1">
        <f t="array" ref="B9">_xlfn.IFS('Form responses 1'!B9 = "Female", 1, 'Form responses 1'!B9 = "Male", 2, 0, TRUE)</f>
        <v>1</v>
      </c>
      <c r="C9" t="s">
        <v>36</v>
      </c>
      <c r="D9" cm="1">
        <f t="array" ref="D9">_xlfn.IFS('Form responses 1'!D9 = "Once", 1, 'Form responses 1'!D9 = "Twice", 2, 'Form responses 1'!D9= "More than twice", 3, 'Form responses 1'!D9= "Occasionally", 4, 0, TRUE)</f>
        <v>2</v>
      </c>
      <c r="E9" cm="1">
        <f t="array" ref="E9">_xlfn.IFS('Form responses 1'!E9 = "Selected", 1, 'Form responses 1'!E9 = "Not Selected", 0, 0, TRUE)</f>
        <v>1</v>
      </c>
      <c r="F9" cm="1">
        <f t="array" ref="F9">_xlfn.IFS('Form responses 1'!F9 = "Selected", 1, 'Form responses 1'!F9 = "Not Selected", 0, 0, TRUE)</f>
        <v>1</v>
      </c>
      <c r="G9" cm="1">
        <f t="array" ref="G9">_xlfn.IFS('Form responses 1'!G9 = "Selected", 1, 'Form responses 1'!G9 = "Not Selected", 0, 0, TRUE)</f>
        <v>0</v>
      </c>
      <c r="H9" cm="1">
        <f t="array" ref="H9">_xlfn.IFS('Form responses 1'!H9 = "Selected", 1, 'Form responses 1'!H9 = "Not Selected", 0, 0, TRUE)</f>
        <v>0</v>
      </c>
      <c r="I9" cm="1">
        <f t="array" ref="I9">_xlfn.IFS('Form responses 1'!I9 = "Selected", 1, 'Form responses 1'!I9 = "Not Selected", 0, 0, TRUE)</f>
        <v>0</v>
      </c>
      <c r="J9" cm="1">
        <f t="array" ref="J9">_xlfn.IFS('Form responses 1'!J9 = "Selected", 1, 'Form responses 1'!J9 = "Not Selected", 0, 0, TRUE)</f>
        <v>1</v>
      </c>
      <c r="K9" cm="1">
        <f t="array" ref="K9">_xlfn.IFS('Form responses 1'!K9 = "Selected", 1, 'Form responses 1'!K9 = "Not Selected", 0, 0, TRUE)</f>
        <v>0</v>
      </c>
      <c r="L9" cm="1">
        <f t="array" ref="L9">_xlfn.IFS('Form responses 1'!L9 = "Selected", 1, 'Form responses 1'!L9 = "Not Selected", 0, 0, TRUE)</f>
        <v>0</v>
      </c>
      <c r="M9" cm="1">
        <f t="array" ref="M9">_xlfn.IFS('Form responses 1'!M9 = "Selected", 1, 'Form responses 1'!M9 = "Not Selected", 0, 0, TRUE)</f>
        <v>0</v>
      </c>
      <c r="N9" cm="1">
        <f t="array" ref="N9">_xlfn.IFS('Form responses 1'!N9 = "Selected", 1, 'Form responses 1'!N9 = "Not Selected", 0, 0, TRUE)</f>
        <v>0</v>
      </c>
      <c r="O9" cm="1">
        <f t="array" ref="O9">_xlfn.IFS('Form responses 1'!O9 = "Yes", 1, 'Form responses 1'!O9 = "No", 2, 0, TRUE)</f>
        <v>2</v>
      </c>
      <c r="P9" cm="1">
        <f t="array" ref="P9">_xlfn.IFS('Form responses 1'!P9 = "Yes", 1, 'Form responses 1'!P9 = "No", 2, 'Form responses 1'!P9 = "Not sure", 3, 0, TRUE)</f>
        <v>3</v>
      </c>
      <c r="Q9" cm="1">
        <f t="array" ref="Q9">_xlfn.IFS('Form responses 1'!Q9 = "Yes", 1, 'Form responses 1'!Q9 = "No", 2, 0, TRUE)</f>
        <v>1</v>
      </c>
      <c r="R9" cm="1">
        <f t="array" ref="R9">_xlfn.IFS('Form responses 1'!R9 = "Yes", 1, 'Form responses 1'!R9 = "No", 2, 0, TRUE)</f>
        <v>2</v>
      </c>
      <c r="S9" cm="1">
        <f t="array" ref="S9">_xlfn.IFS('Form responses 1'!S9 = "Severely embarrassed", 1, 'Form responses 1'!S9 = "Somewhat uncomfortable", 2, 'Form responses 1'!S9= "Not affected", 3, 'Form responses 1'!S9= "Indifferent", 4, 0, TRUE)</f>
        <v>3</v>
      </c>
      <c r="T9" cm="1">
        <f t="array" ref="T9">_xlfn.IFS('Form responses 1'!T9 = "Yes", 1, 'Form responses 1'!T9 = "No", 2, 'Form responses 1'!T9 = "Not sure", 3, 0, TRUE)</f>
        <v>2</v>
      </c>
      <c r="U9" cm="1">
        <f t="array" ref="U9">_xlfn.IFS('Form responses 1'!U9 = "Strongly agree", 1, 'Form responses 1'!U9 = "Agree", 2, 'Form responses 1'!U9 = "Neutral", 3, 'Form responses 1'!U9 = "Disagree", 4, 0, TRUE)</f>
        <v>1</v>
      </c>
      <c r="V9" cm="1">
        <f t="array" ref="V9">_xlfn.IFS('Form responses 1'!V9 = "Selected", 1, 'Form responses 1'!V9 = "Not Selected", 0, 0, TRUE)</f>
        <v>1</v>
      </c>
      <c r="W9" cm="1">
        <f t="array" ref="W9">_xlfn.IFS('Form responses 1'!W9 = "Selected", 1, 'Form responses 1'!W9 = "Not Selected", 0, 0, TRUE)</f>
        <v>0</v>
      </c>
      <c r="X9" cm="1">
        <f t="array" ref="X9">_xlfn.IFS('Form responses 1'!X9 = "Selected", 1, 'Form responses 1'!X9 = "Not Selected", 0, 0, TRUE)</f>
        <v>0</v>
      </c>
      <c r="Y9" cm="1">
        <f t="array" ref="Y9">_xlfn.IFS('Form responses 1'!Y9 = "Selected", 1, 'Form responses 1'!Y9 = "Not Selected", 0, 0, TRUE)</f>
        <v>0</v>
      </c>
      <c r="Z9" cm="1">
        <f t="array" ref="Z9">_xlfn.IFS('Form responses 1'!Z9 = "Selected", 1, 'Form responses 1'!Z9 = "Not Selected", 0, 0, TRUE)</f>
        <v>1</v>
      </c>
      <c r="AA9" cm="1">
        <f t="array" ref="AA9">_xlfn.IFS('Form responses 1'!AA9 = "Very effective", 1, 'Form responses 1'!AA9 = "Somewhat effective", 2, 'Form responses 1'!AA9 = "Not effective", 3, 'Form responses 1'!AA9 = "Made it worse", 4, 0, TRUE)</f>
        <v>1</v>
      </c>
      <c r="AB9" cm="1">
        <f t="array" ref="AB9">_xlfn.IFS('Form responses 1'!AB9 = "Yes", 1, 'Form responses 1'!AB9 = "No", 2, 'Form responses 1'!AB9 = "Not sure", 3, 0, TRUE)</f>
        <v>1</v>
      </c>
      <c r="AC9" cm="1">
        <f t="array" ref="AC9">_xlfn.IFS('Form responses 1'!AC9 = "Yes", 1, 'Form responses 1'!AC9 = "No", 2, 0, TRUE)</f>
        <v>1</v>
      </c>
    </row>
    <row r="10" spans="1:29" x14ac:dyDescent="0.2">
      <c r="A10" cm="1">
        <f t="array" ref="A10">_xlfn.IFS('Form responses 1'!A10 = "18-24 years", 1, 'Form responses 1'!A10 = "25-34 years", 2, 'Form responses 1'!A10= "35-44 years", 3, 'Form responses 1'!A10= "45-54 years", 4, 'Form responses 1'!A10= "55-64 years", 5, 'Form responses 1'!A10= "65 &amp; above", 6, 0, TRUE)</f>
        <v>1</v>
      </c>
      <c r="B10" cm="1">
        <f t="array" ref="B10">_xlfn.IFS('Form responses 1'!B10 = "Female", 1, 'Form responses 1'!B10 = "Male", 2, 0, TRUE)</f>
        <v>1</v>
      </c>
      <c r="C10" t="s">
        <v>37</v>
      </c>
      <c r="D10" cm="1">
        <f t="array" ref="D10">_xlfn.IFS('Form responses 1'!D10 = "Once", 1, 'Form responses 1'!D10 = "Twice", 2, 'Form responses 1'!D10= "More than twice", 3, 'Form responses 1'!D10= "Occasionally", 4, 0, TRUE)</f>
        <v>2</v>
      </c>
      <c r="E10" cm="1">
        <f t="array" ref="E10">_xlfn.IFS('Form responses 1'!E10 = "Selected", 1, 'Form responses 1'!E10 = "Not Selected", 0, 0, TRUE)</f>
        <v>1</v>
      </c>
      <c r="F10" cm="1">
        <f t="array" ref="F10">_xlfn.IFS('Form responses 1'!F10 = "Selected", 1, 'Form responses 1'!F10 = "Not Selected", 0, 0, TRUE)</f>
        <v>1</v>
      </c>
      <c r="G10" cm="1">
        <f t="array" ref="G10">_xlfn.IFS('Form responses 1'!G10 = "Selected", 1, 'Form responses 1'!G10 = "Not Selected", 0, 0, TRUE)</f>
        <v>0</v>
      </c>
      <c r="H10" cm="1">
        <f t="array" ref="H10">_xlfn.IFS('Form responses 1'!H10 = "Selected", 1, 'Form responses 1'!H10 = "Not Selected", 0, 0, TRUE)</f>
        <v>0</v>
      </c>
      <c r="I10" cm="1">
        <f t="array" ref="I10">_xlfn.IFS('Form responses 1'!I10 = "Selected", 1, 'Form responses 1'!I10 = "Not Selected", 0, 0, TRUE)</f>
        <v>0</v>
      </c>
      <c r="J10" cm="1">
        <f t="array" ref="J10">_xlfn.IFS('Form responses 1'!J10 = "Selected", 1, 'Form responses 1'!J10 = "Not Selected", 0, 0, TRUE)</f>
        <v>1</v>
      </c>
      <c r="K10" cm="1">
        <f t="array" ref="K10">_xlfn.IFS('Form responses 1'!K10 = "Selected", 1, 'Form responses 1'!K10 = "Not Selected", 0, 0, TRUE)</f>
        <v>1</v>
      </c>
      <c r="L10" cm="1">
        <f t="array" ref="L10">_xlfn.IFS('Form responses 1'!L10 = "Selected", 1, 'Form responses 1'!L10 = "Not Selected", 0, 0, TRUE)</f>
        <v>1</v>
      </c>
      <c r="M10" cm="1">
        <f t="array" ref="M10">_xlfn.IFS('Form responses 1'!M10 = "Selected", 1, 'Form responses 1'!M10 = "Not Selected", 0, 0, TRUE)</f>
        <v>0</v>
      </c>
      <c r="N10" cm="1">
        <f t="array" ref="N10">_xlfn.IFS('Form responses 1'!N10 = "Selected", 1, 'Form responses 1'!N10 = "Not Selected", 0, 0, TRUE)</f>
        <v>0</v>
      </c>
      <c r="O10" cm="1">
        <f t="array" ref="O10">_xlfn.IFS('Form responses 1'!O10 = "Yes", 1, 'Form responses 1'!O10 = "No", 2, 0, TRUE)</f>
        <v>2</v>
      </c>
      <c r="P10" cm="1">
        <f t="array" ref="P10">_xlfn.IFS('Form responses 1'!P10 = "Yes", 1, 'Form responses 1'!P10 = "No", 2, 'Form responses 1'!P10 = "Not sure", 3, 0, TRUE)</f>
        <v>2</v>
      </c>
      <c r="Q10" cm="1">
        <f t="array" ref="Q10">_xlfn.IFS('Form responses 1'!Q10 = "Yes", 1, 'Form responses 1'!Q10 = "No", 2, 0, TRUE)</f>
        <v>1</v>
      </c>
      <c r="R10" cm="1">
        <f t="array" ref="R10">_xlfn.IFS('Form responses 1'!R10 = "Yes", 1, 'Form responses 1'!R10 = "No", 2, 0, TRUE)</f>
        <v>2</v>
      </c>
      <c r="S10" cm="1">
        <f t="array" ref="S10">_xlfn.IFS('Form responses 1'!S10 = "Severely embarrassed", 1, 'Form responses 1'!S10 = "Somewhat uncomfortable", 2, 'Form responses 1'!S10= "Not affected", 3, 'Form responses 1'!S10= "Indifferent", 4, 0, TRUE)</f>
        <v>3</v>
      </c>
      <c r="T10" cm="1">
        <f t="array" ref="T10">_xlfn.IFS('Form responses 1'!T10 = "Yes", 1, 'Form responses 1'!T10 = "No", 2, 'Form responses 1'!T10 = "Not sure", 3, 0, TRUE)</f>
        <v>2</v>
      </c>
      <c r="U10" cm="1">
        <f t="array" ref="U10">_xlfn.IFS('Form responses 1'!U10 = "Strongly agree", 1, 'Form responses 1'!U10 = "Agree", 2, 'Form responses 1'!U10 = "Neutral", 3, 'Form responses 1'!U10 = "Disagree", 4, 0, TRUE)</f>
        <v>2</v>
      </c>
      <c r="V10" cm="1">
        <f t="array" ref="V10">_xlfn.IFS('Form responses 1'!V10 = "Selected", 1, 'Form responses 1'!V10 = "Not Selected", 0, 0, TRUE)</f>
        <v>1</v>
      </c>
      <c r="W10" cm="1">
        <f t="array" ref="W10">_xlfn.IFS('Form responses 1'!W10 = "Selected", 1, 'Form responses 1'!W10 = "Not Selected", 0, 0, TRUE)</f>
        <v>0</v>
      </c>
      <c r="X10" cm="1">
        <f t="array" ref="X10">_xlfn.IFS('Form responses 1'!X10 = "Selected", 1, 'Form responses 1'!X10 = "Not Selected", 0, 0, TRUE)</f>
        <v>0</v>
      </c>
      <c r="Y10" cm="1">
        <f t="array" ref="Y10">_xlfn.IFS('Form responses 1'!Y10 = "Selected", 1, 'Form responses 1'!Y10 = "Not Selected", 0, 0, TRUE)</f>
        <v>0</v>
      </c>
      <c r="Z10" cm="1">
        <f t="array" ref="Z10">_xlfn.IFS('Form responses 1'!Z10 = "Selected", 1, 'Form responses 1'!Z10 = "Not Selected", 0, 0, TRUE)</f>
        <v>1</v>
      </c>
      <c r="AA10" cm="1">
        <f t="array" ref="AA10">_xlfn.IFS('Form responses 1'!AA10 = "Very effective", 1, 'Form responses 1'!AA10 = "Somewhat effective", 2, 'Form responses 1'!AA10 = "Not effective", 3, 'Form responses 1'!AA10 = "Made it worse", 4, 0, TRUE)</f>
        <v>1</v>
      </c>
      <c r="AB10" cm="1">
        <f t="array" ref="AB10">_xlfn.IFS('Form responses 1'!AB10 = "Yes", 1, 'Form responses 1'!AB10 = "No", 2, 'Form responses 1'!AB10 = "Not sure", 3, 0, TRUE)</f>
        <v>1</v>
      </c>
      <c r="AC10" cm="1">
        <f t="array" ref="AC10">_xlfn.IFS('Form responses 1'!AC10 = "Yes", 1, 'Form responses 1'!AC10 = "No", 2, 0, TRUE)</f>
        <v>1</v>
      </c>
    </row>
    <row r="11" spans="1:29" x14ac:dyDescent="0.2">
      <c r="A11" cm="1">
        <f t="array" ref="A11">_xlfn.IFS('Form responses 1'!A11 = "18-24 years", 1, 'Form responses 1'!A11 = "25-34 years", 2, 'Form responses 1'!A11= "35-44 years", 3, 'Form responses 1'!A11= "45-54 years", 4, 'Form responses 1'!A11= "55-64 years", 5, 'Form responses 1'!A11= "65 &amp; above", 6, 0, TRUE)</f>
        <v>2</v>
      </c>
      <c r="B11" cm="1">
        <f t="array" ref="B11">_xlfn.IFS('Form responses 1'!B11 = "Female", 1, 'Form responses 1'!B11 = "Male", 2, 0, TRUE)</f>
        <v>2</v>
      </c>
      <c r="C11" t="s">
        <v>38</v>
      </c>
      <c r="D11" cm="1">
        <f t="array" ref="D11">_xlfn.IFS('Form responses 1'!D11 = "Once", 1, 'Form responses 1'!D11 = "Twice", 2, 'Form responses 1'!D11= "More than twice", 3, 'Form responses 1'!D11= "Occasionally", 4, 0, TRUE)</f>
        <v>3</v>
      </c>
      <c r="E11" cm="1">
        <f t="array" ref="E11">_xlfn.IFS('Form responses 1'!E11 = "Selected", 1, 'Form responses 1'!E11 = "Not Selected", 0, 0, TRUE)</f>
        <v>0</v>
      </c>
      <c r="F11" cm="1">
        <f t="array" ref="F11">_xlfn.IFS('Form responses 1'!F11 = "Selected", 1, 'Form responses 1'!F11 = "Not Selected", 0, 0, TRUE)</f>
        <v>1</v>
      </c>
      <c r="G11" cm="1">
        <f t="array" ref="G11">_xlfn.IFS('Form responses 1'!G11 = "Selected", 1, 'Form responses 1'!G11 = "Not Selected", 0, 0, TRUE)</f>
        <v>0</v>
      </c>
      <c r="H11" cm="1">
        <f t="array" ref="H11">_xlfn.IFS('Form responses 1'!H11 = "Selected", 1, 'Form responses 1'!H11 = "Not Selected", 0, 0, TRUE)</f>
        <v>0</v>
      </c>
      <c r="I11" cm="1">
        <f t="array" ref="I11">_xlfn.IFS('Form responses 1'!I11 = "Selected", 1, 'Form responses 1'!I11 = "Not Selected", 0, 0, TRUE)</f>
        <v>0</v>
      </c>
      <c r="J11" cm="1">
        <f t="array" ref="J11">_xlfn.IFS('Form responses 1'!J11 = "Selected", 1, 'Form responses 1'!J11 = "Not Selected", 0, 0, TRUE)</f>
        <v>0</v>
      </c>
      <c r="K11" cm="1">
        <f t="array" ref="K11">_xlfn.IFS('Form responses 1'!K11 = "Selected", 1, 'Form responses 1'!K11 = "Not Selected", 0, 0, TRUE)</f>
        <v>1</v>
      </c>
      <c r="L11" cm="1">
        <f t="array" ref="L11">_xlfn.IFS('Form responses 1'!L11 = "Selected", 1, 'Form responses 1'!L11 = "Not Selected", 0, 0, TRUE)</f>
        <v>1</v>
      </c>
      <c r="M11" cm="1">
        <f t="array" ref="M11">_xlfn.IFS('Form responses 1'!M11 = "Selected", 1, 'Form responses 1'!M11 = "Not Selected", 0, 0, TRUE)</f>
        <v>1</v>
      </c>
      <c r="N11" cm="1">
        <f t="array" ref="N11">_xlfn.IFS('Form responses 1'!N11 = "Selected", 1, 'Form responses 1'!N11 = "Not Selected", 0, 0, TRUE)</f>
        <v>1</v>
      </c>
      <c r="O11" cm="1">
        <f t="array" ref="O11">_xlfn.IFS('Form responses 1'!O11 = "Yes", 1, 'Form responses 1'!O11 = "No", 2, 0, TRUE)</f>
        <v>2</v>
      </c>
      <c r="P11" cm="1">
        <f t="array" ref="P11">_xlfn.IFS('Form responses 1'!P11 = "Yes", 1, 'Form responses 1'!P11 = "No", 2, 'Form responses 1'!P11 = "Not sure", 3, 0, TRUE)</f>
        <v>3</v>
      </c>
      <c r="Q11" cm="1">
        <f t="array" ref="Q11">_xlfn.IFS('Form responses 1'!Q11 = "Yes", 1, 'Form responses 1'!Q11 = "No", 2, 0, TRUE)</f>
        <v>2</v>
      </c>
      <c r="R11" cm="1">
        <f t="array" ref="R11">_xlfn.IFS('Form responses 1'!R11 = "Yes", 1, 'Form responses 1'!R11 = "No", 2, 0, TRUE)</f>
        <v>2</v>
      </c>
      <c r="S11" cm="1">
        <f t="array" ref="S11">_xlfn.IFS('Form responses 1'!S11 = "Severely embarrassed", 1, 'Form responses 1'!S11 = "Somewhat uncomfortable", 2, 'Form responses 1'!S11= "Not affected", 3, 'Form responses 1'!S11= "Indifferent", 4, 0, TRUE)</f>
        <v>3</v>
      </c>
      <c r="T11" cm="1">
        <f t="array" ref="T11">_xlfn.IFS('Form responses 1'!T11 = "Yes", 1, 'Form responses 1'!T11 = "No", 2, 'Form responses 1'!T11 = "Not sure", 3, 0, TRUE)</f>
        <v>2</v>
      </c>
      <c r="U11" cm="1">
        <f t="array" ref="U11">_xlfn.IFS('Form responses 1'!U11 = "Strongly agree", 1, 'Form responses 1'!U11 = "Agree", 2, 'Form responses 1'!U11 = "Neutral", 3, 'Form responses 1'!U11 = "Disagree", 4, 0, TRUE)</f>
        <v>3</v>
      </c>
      <c r="V11" cm="1">
        <f t="array" ref="V11">_xlfn.IFS('Form responses 1'!V11 = "Selected", 1, 'Form responses 1'!V11 = "Not Selected", 0, 0, TRUE)</f>
        <v>1</v>
      </c>
      <c r="W11" cm="1">
        <f t="array" ref="W11">_xlfn.IFS('Form responses 1'!W11 = "Selected", 1, 'Form responses 1'!W11 = "Not Selected", 0, 0, TRUE)</f>
        <v>1</v>
      </c>
      <c r="X11" cm="1">
        <f t="array" ref="X11">_xlfn.IFS('Form responses 1'!X11 = "Selected", 1, 'Form responses 1'!X11 = "Not Selected", 0, 0, TRUE)</f>
        <v>0</v>
      </c>
      <c r="Y11" cm="1">
        <f t="array" ref="Y11">_xlfn.IFS('Form responses 1'!Y11 = "Selected", 1, 'Form responses 1'!Y11 = "Not Selected", 0, 0, TRUE)</f>
        <v>0</v>
      </c>
      <c r="Z11" cm="1">
        <f t="array" ref="Z11">_xlfn.IFS('Form responses 1'!Z11 = "Selected", 1, 'Form responses 1'!Z11 = "Not Selected", 0, 0, TRUE)</f>
        <v>1</v>
      </c>
      <c r="AA11" cm="1">
        <f t="array" ref="AA11">_xlfn.IFS('Form responses 1'!AA11 = "Very effective", 1, 'Form responses 1'!AA11 = "Somewhat effective", 2, 'Form responses 1'!AA11 = "Not effective", 3, 'Form responses 1'!AA11 = "Made it worse", 4, 0, TRUE)</f>
        <v>1</v>
      </c>
      <c r="AB11" cm="1">
        <f t="array" ref="AB11">_xlfn.IFS('Form responses 1'!AB11 = "Yes", 1, 'Form responses 1'!AB11 = "No", 2, 'Form responses 1'!AB11 = "Not sure", 3, 0, TRUE)</f>
        <v>3</v>
      </c>
      <c r="AC11" cm="1">
        <f t="array" ref="AC11">_xlfn.IFS('Form responses 1'!AC11 = "Yes", 1, 'Form responses 1'!AC11 = "No", 2, 0, TRUE)</f>
        <v>1</v>
      </c>
    </row>
    <row r="12" spans="1:29" x14ac:dyDescent="0.2">
      <c r="A12" cm="1">
        <f t="array" ref="A12">_xlfn.IFS('Form responses 1'!A12 = "18-24 years", 1, 'Form responses 1'!A12 = "25-34 years", 2, 'Form responses 1'!A12= "35-44 years", 3, 'Form responses 1'!A12= "45-54 years", 4, 'Form responses 1'!A12= "55-64 years", 5, 'Form responses 1'!A12= "65 &amp; above", 6, 0, TRUE)</f>
        <v>2</v>
      </c>
      <c r="B12" cm="1">
        <f t="array" ref="B12">_xlfn.IFS('Form responses 1'!B12 = "Female", 1, 'Form responses 1'!B12 = "Male", 2, 0, TRUE)</f>
        <v>1</v>
      </c>
      <c r="C12" t="s">
        <v>41</v>
      </c>
      <c r="D12" cm="1">
        <f t="array" ref="D12">_xlfn.IFS('Form responses 1'!D12 = "Once", 1, 'Form responses 1'!D12 = "Twice", 2, 'Form responses 1'!D12= "More than twice", 3, 'Form responses 1'!D12= "Occasionally", 4, 0, TRUE)</f>
        <v>2</v>
      </c>
      <c r="E12" cm="1">
        <f t="array" ref="E12">_xlfn.IFS('Form responses 1'!E12 = "Selected", 1, 'Form responses 1'!E12 = "Not Selected", 0, 0, TRUE)</f>
        <v>0</v>
      </c>
      <c r="F12" cm="1">
        <f t="array" ref="F12">_xlfn.IFS('Form responses 1'!F12 = "Selected", 1, 'Form responses 1'!F12 = "Not Selected", 0, 0, TRUE)</f>
        <v>0</v>
      </c>
      <c r="G12" cm="1">
        <f t="array" ref="G12">_xlfn.IFS('Form responses 1'!G12 = "Selected", 1, 'Form responses 1'!G12 = "Not Selected", 0, 0, TRUE)</f>
        <v>0</v>
      </c>
      <c r="H12" cm="1">
        <f t="array" ref="H12">_xlfn.IFS('Form responses 1'!H12 = "Selected", 1, 'Form responses 1'!H12 = "Not Selected", 0, 0, TRUE)</f>
        <v>0</v>
      </c>
      <c r="I12" cm="1">
        <f t="array" ref="I12">_xlfn.IFS('Form responses 1'!I12 = "Selected", 1, 'Form responses 1'!I12 = "Not Selected", 0, 0, TRUE)</f>
        <v>1</v>
      </c>
      <c r="J12" cm="1">
        <f t="array" ref="J12">_xlfn.IFS('Form responses 1'!J12 = "Selected", 1, 'Form responses 1'!J12 = "Not Selected", 0, 0, TRUE)</f>
        <v>0</v>
      </c>
      <c r="K12" cm="1">
        <f t="array" ref="K12">_xlfn.IFS('Form responses 1'!K12 = "Selected", 1, 'Form responses 1'!K12 = "Not Selected", 0, 0, TRUE)</f>
        <v>0</v>
      </c>
      <c r="L12" cm="1">
        <f t="array" ref="L12">_xlfn.IFS('Form responses 1'!L12 = "Selected", 1, 'Form responses 1'!L12 = "Not Selected", 0, 0, TRUE)</f>
        <v>0</v>
      </c>
      <c r="M12" cm="1">
        <f t="array" ref="M12">_xlfn.IFS('Form responses 1'!M12 = "Selected", 1, 'Form responses 1'!M12 = "Not Selected", 0, 0, TRUE)</f>
        <v>0</v>
      </c>
      <c r="N12" cm="1">
        <f t="array" ref="N12">_xlfn.IFS('Form responses 1'!N12 = "Selected", 1, 'Form responses 1'!N12 = "Not Selected", 0, 0, TRUE)</f>
        <v>1</v>
      </c>
      <c r="O12" cm="1">
        <f t="array" ref="O12">_xlfn.IFS('Form responses 1'!O12 = "Yes", 1, 'Form responses 1'!O12 = "No", 2, 0, TRUE)</f>
        <v>2</v>
      </c>
      <c r="P12" cm="1">
        <f t="array" ref="P12">_xlfn.IFS('Form responses 1'!P12 = "Yes", 1, 'Form responses 1'!P12 = "No", 2, 'Form responses 1'!P12 = "Not sure", 3, 0, TRUE)</f>
        <v>1</v>
      </c>
      <c r="Q12" cm="1">
        <f t="array" ref="Q12">_xlfn.IFS('Form responses 1'!Q12 = "Yes", 1, 'Form responses 1'!Q12 = "No", 2, 0, TRUE)</f>
        <v>1</v>
      </c>
      <c r="R12" cm="1">
        <f t="array" ref="R12">_xlfn.IFS('Form responses 1'!R12 = "Yes", 1, 'Form responses 1'!R12 = "No", 2, 0, TRUE)</f>
        <v>2</v>
      </c>
      <c r="S12" cm="1">
        <f t="array" ref="S12">_xlfn.IFS('Form responses 1'!S12 = "Severely embarrassed", 1, 'Form responses 1'!S12 = "Somewhat uncomfortable", 2, 'Form responses 1'!S12= "Not affected", 3, 'Form responses 1'!S12= "Indifferent", 4, 0, TRUE)</f>
        <v>3</v>
      </c>
      <c r="T12" cm="1">
        <f t="array" ref="T12">_xlfn.IFS('Form responses 1'!T12 = "Yes", 1, 'Form responses 1'!T12 = "No", 2, 'Form responses 1'!T12 = "Not sure", 3, 0, TRUE)</f>
        <v>1</v>
      </c>
      <c r="U12" cm="1">
        <f t="array" ref="U12">_xlfn.IFS('Form responses 1'!U12 = "Strongly agree", 1, 'Form responses 1'!U12 = "Agree", 2, 'Form responses 1'!U12 = "Neutral", 3, 'Form responses 1'!U12 = "Disagree", 4, 0, TRUE)</f>
        <v>1</v>
      </c>
      <c r="V12" cm="1">
        <f t="array" ref="V12">_xlfn.IFS('Form responses 1'!V12 = "Selected", 1, 'Form responses 1'!V12 = "Not Selected", 0, 0, TRUE)</f>
        <v>1</v>
      </c>
      <c r="W12" cm="1">
        <f t="array" ref="W12">_xlfn.IFS('Form responses 1'!W12 = "Selected", 1, 'Form responses 1'!W12 = "Not Selected", 0, 0, TRUE)</f>
        <v>0</v>
      </c>
      <c r="X12" cm="1">
        <f t="array" ref="X12">_xlfn.IFS('Form responses 1'!X12 = "Selected", 1, 'Form responses 1'!X12 = "Not Selected", 0, 0, TRUE)</f>
        <v>0</v>
      </c>
      <c r="Y12" cm="1">
        <f t="array" ref="Y12">_xlfn.IFS('Form responses 1'!Y12 = "Selected", 1, 'Form responses 1'!Y12 = "Not Selected", 0, 0, TRUE)</f>
        <v>0</v>
      </c>
      <c r="Z12" cm="1">
        <f t="array" ref="Z12">_xlfn.IFS('Form responses 1'!Z12 = "Selected", 1, 'Form responses 1'!Z12 = "Not Selected", 0, 0, TRUE)</f>
        <v>1</v>
      </c>
      <c r="AA12" cm="1">
        <f t="array" ref="AA12">_xlfn.IFS('Form responses 1'!AA12 = "Very effective", 1, 'Form responses 1'!AA12 = "Somewhat effective", 2, 'Form responses 1'!AA12 = "Not effective", 3, 'Form responses 1'!AA12 = "Made it worse", 4, 0, TRUE)</f>
        <v>1</v>
      </c>
      <c r="AB12" cm="1">
        <f t="array" ref="AB12">_xlfn.IFS('Form responses 1'!AB12 = "Yes", 1, 'Form responses 1'!AB12 = "No", 2, 'Form responses 1'!AB12 = "Not sure", 3, 0, TRUE)</f>
        <v>1</v>
      </c>
      <c r="AC12" cm="1">
        <f t="array" ref="AC12">_xlfn.IFS('Form responses 1'!AC12 = "Yes", 1, 'Form responses 1'!AC12 = "No", 2, 0, TRUE)</f>
        <v>1</v>
      </c>
    </row>
    <row r="13" spans="1:29" x14ac:dyDescent="0.2">
      <c r="A13" cm="1">
        <f t="array" ref="A13">_xlfn.IFS('Form responses 1'!A13 = "18-24 years", 1, 'Form responses 1'!A13 = "25-34 years", 2, 'Form responses 1'!A13= "35-44 years", 3, 'Form responses 1'!A13= "45-54 years", 4, 'Form responses 1'!A13= "55-64 years", 5, 'Form responses 1'!A13= "65 &amp; above", 6, 0, TRUE)</f>
        <v>3</v>
      </c>
      <c r="B13" cm="1">
        <f t="array" ref="B13">_xlfn.IFS('Form responses 1'!B13 = "Female", 1, 'Form responses 1'!B13 = "Male", 2, 0, TRUE)</f>
        <v>1</v>
      </c>
      <c r="C13" t="s">
        <v>44</v>
      </c>
      <c r="D13" cm="1">
        <f t="array" ref="D13">_xlfn.IFS('Form responses 1'!D13 = "Once", 1, 'Form responses 1'!D13 = "Twice", 2, 'Form responses 1'!D13= "More than twice", 3, 'Form responses 1'!D13= "Occasionally", 4, 0, TRUE)</f>
        <v>2</v>
      </c>
      <c r="E13" cm="1">
        <f t="array" ref="E13">_xlfn.IFS('Form responses 1'!E13 = "Selected", 1, 'Form responses 1'!E13 = "Not Selected", 0, 0, TRUE)</f>
        <v>1</v>
      </c>
      <c r="F13" cm="1">
        <f t="array" ref="F13">_xlfn.IFS('Form responses 1'!F13 = "Selected", 1, 'Form responses 1'!F13 = "Not Selected", 0, 0, TRUE)</f>
        <v>1</v>
      </c>
      <c r="G13" cm="1">
        <f t="array" ref="G13">_xlfn.IFS('Form responses 1'!G13 = "Selected", 1, 'Form responses 1'!G13 = "Not Selected", 0, 0, TRUE)</f>
        <v>0</v>
      </c>
      <c r="H13" cm="1">
        <f t="array" ref="H13">_xlfn.IFS('Form responses 1'!H13 = "Selected", 1, 'Form responses 1'!H13 = "Not Selected", 0, 0, TRUE)</f>
        <v>0</v>
      </c>
      <c r="I13" cm="1">
        <f t="array" ref="I13">_xlfn.IFS('Form responses 1'!I13 = "Selected", 1, 'Form responses 1'!I13 = "Not Selected", 0, 0, TRUE)</f>
        <v>0</v>
      </c>
      <c r="J13" cm="1">
        <f t="array" ref="J13">_xlfn.IFS('Form responses 1'!J13 = "Selected", 1, 'Form responses 1'!J13 = "Not Selected", 0, 0, TRUE)</f>
        <v>1</v>
      </c>
      <c r="K13" cm="1">
        <f t="array" ref="K13">_xlfn.IFS('Form responses 1'!K13 = "Selected", 1, 'Form responses 1'!K13 = "Not Selected", 0, 0, TRUE)</f>
        <v>1</v>
      </c>
      <c r="L13" cm="1">
        <f t="array" ref="L13">_xlfn.IFS('Form responses 1'!L13 = "Selected", 1, 'Form responses 1'!L13 = "Not Selected", 0, 0, TRUE)</f>
        <v>0</v>
      </c>
      <c r="M13" cm="1">
        <f t="array" ref="M13">_xlfn.IFS('Form responses 1'!M13 = "Selected", 1, 'Form responses 1'!M13 = "Not Selected", 0, 0, TRUE)</f>
        <v>0</v>
      </c>
      <c r="N13" cm="1">
        <f t="array" ref="N13">_xlfn.IFS('Form responses 1'!N13 = "Selected", 1, 'Form responses 1'!N13 = "Not Selected", 0, 0, TRUE)</f>
        <v>1</v>
      </c>
      <c r="O13" cm="1">
        <f t="array" ref="O13">_xlfn.IFS('Form responses 1'!O13 = "Yes", 1, 'Form responses 1'!O13 = "No", 2, 0, TRUE)</f>
        <v>2</v>
      </c>
      <c r="P13" cm="1">
        <f t="array" ref="P13">_xlfn.IFS('Form responses 1'!P13 = "Yes", 1, 'Form responses 1'!P13 = "No", 2, 'Form responses 1'!P13 = "Not sure", 3, 0, TRUE)</f>
        <v>3</v>
      </c>
      <c r="Q13" cm="1">
        <f t="array" ref="Q13">_xlfn.IFS('Form responses 1'!Q13 = "Yes", 1, 'Form responses 1'!Q13 = "No", 2, 0, TRUE)</f>
        <v>2</v>
      </c>
      <c r="R13" cm="1">
        <f t="array" ref="R13">_xlfn.IFS('Form responses 1'!R13 = "Yes", 1, 'Form responses 1'!R13 = "No", 2, 0, TRUE)</f>
        <v>2</v>
      </c>
      <c r="S13" cm="1">
        <f t="array" ref="S13">_xlfn.IFS('Form responses 1'!S13 = "Severely embarrassed", 1, 'Form responses 1'!S13 = "Somewhat uncomfortable", 2, 'Form responses 1'!S13= "Not affected", 3, 'Form responses 1'!S13= "Indifferent", 4, 0, TRUE)</f>
        <v>3</v>
      </c>
      <c r="T13" cm="1">
        <f t="array" ref="T13">_xlfn.IFS('Form responses 1'!T13 = "Yes", 1, 'Form responses 1'!T13 = "No", 2, 'Form responses 1'!T13 = "Not sure", 3, 0, TRUE)</f>
        <v>2</v>
      </c>
      <c r="U13" cm="1">
        <f t="array" ref="U13">_xlfn.IFS('Form responses 1'!U13 = "Strongly agree", 1, 'Form responses 1'!U13 = "Agree", 2, 'Form responses 1'!U13 = "Neutral", 3, 'Form responses 1'!U13 = "Disagree", 4, 0, TRUE)</f>
        <v>1</v>
      </c>
      <c r="V13" cm="1">
        <f t="array" ref="V13">_xlfn.IFS('Form responses 1'!V13 = "Selected", 1, 'Form responses 1'!V13 = "Not Selected", 0, 0, TRUE)</f>
        <v>1</v>
      </c>
      <c r="W13" cm="1">
        <f t="array" ref="W13">_xlfn.IFS('Form responses 1'!W13 = "Selected", 1, 'Form responses 1'!W13 = "Not Selected", 0, 0, TRUE)</f>
        <v>0</v>
      </c>
      <c r="X13" cm="1">
        <f t="array" ref="X13">_xlfn.IFS('Form responses 1'!X13 = "Selected", 1, 'Form responses 1'!X13 = "Not Selected", 0, 0, TRUE)</f>
        <v>0</v>
      </c>
      <c r="Y13" cm="1">
        <f t="array" ref="Y13">_xlfn.IFS('Form responses 1'!Y13 = "Selected", 1, 'Form responses 1'!Y13 = "Not Selected", 0, 0, TRUE)</f>
        <v>0</v>
      </c>
      <c r="Z13" cm="1">
        <f t="array" ref="Z13">_xlfn.IFS('Form responses 1'!Z13 = "Selected", 1, 'Form responses 1'!Z13 = "Not Selected", 0, 0, TRUE)</f>
        <v>1</v>
      </c>
      <c r="AA13" cm="1">
        <f t="array" ref="AA13">_xlfn.IFS('Form responses 1'!AA13 = "Very effective", 1, 'Form responses 1'!AA13 = "Somewhat effective", 2, 'Form responses 1'!AA13 = "Not effective", 3, 'Form responses 1'!AA13 = "Made it worse", 4, 0, TRUE)</f>
        <v>1</v>
      </c>
      <c r="AB13" cm="1">
        <f t="array" ref="AB13">_xlfn.IFS('Form responses 1'!AB13 = "Yes", 1, 'Form responses 1'!AB13 = "No", 2, 'Form responses 1'!AB13 = "Not sure", 3, 0, TRUE)</f>
        <v>1</v>
      </c>
      <c r="AC13" cm="1">
        <f t="array" ref="AC13">_xlfn.IFS('Form responses 1'!AC13 = "Yes", 1, 'Form responses 1'!AC13 = "No", 2, 0, TRUE)</f>
        <v>1</v>
      </c>
    </row>
    <row r="14" spans="1:29" x14ac:dyDescent="0.2">
      <c r="A14" cm="1">
        <f t="array" ref="A14">_xlfn.IFS('Form responses 1'!A14 = "18-24 years", 1, 'Form responses 1'!A14 = "25-34 years", 2, 'Form responses 1'!A14= "35-44 years", 3, 'Form responses 1'!A14= "45-54 years", 4, 'Form responses 1'!A14= "55-64 years", 5, 'Form responses 1'!A14= "65 &amp; above", 6, 0, TRUE)</f>
        <v>2</v>
      </c>
      <c r="B14" cm="1">
        <f t="array" ref="B14">_xlfn.IFS('Form responses 1'!B14 = "Female", 1, 'Form responses 1'!B14 = "Male", 2, 0, TRUE)</f>
        <v>1</v>
      </c>
      <c r="C14" t="s">
        <v>35</v>
      </c>
      <c r="D14" cm="1">
        <f t="array" ref="D14">_xlfn.IFS('Form responses 1'!D14 = "Once", 1, 'Form responses 1'!D14 = "Twice", 2, 'Form responses 1'!D14= "More than twice", 3, 'Form responses 1'!D14= "Occasionally", 4, 0, TRUE)</f>
        <v>2</v>
      </c>
      <c r="E14" cm="1">
        <f t="array" ref="E14">_xlfn.IFS('Form responses 1'!E14 = "Selected", 1, 'Form responses 1'!E14 = "Not Selected", 0, 0, TRUE)</f>
        <v>1</v>
      </c>
      <c r="F14" cm="1">
        <f t="array" ref="F14">_xlfn.IFS('Form responses 1'!F14 = "Selected", 1, 'Form responses 1'!F14 = "Not Selected", 0, 0, TRUE)</f>
        <v>1</v>
      </c>
      <c r="G14" cm="1">
        <f t="array" ref="G14">_xlfn.IFS('Form responses 1'!G14 = "Selected", 1, 'Form responses 1'!G14 = "Not Selected", 0, 0, TRUE)</f>
        <v>1</v>
      </c>
      <c r="H14" cm="1">
        <f t="array" ref="H14">_xlfn.IFS('Form responses 1'!H14 = "Selected", 1, 'Form responses 1'!H14 = "Not Selected", 0, 0, TRUE)</f>
        <v>0</v>
      </c>
      <c r="I14" cm="1">
        <f t="array" ref="I14">_xlfn.IFS('Form responses 1'!I14 = "Selected", 1, 'Form responses 1'!I14 = "Not Selected", 0, 0, TRUE)</f>
        <v>0</v>
      </c>
      <c r="J14" cm="1">
        <f t="array" ref="J14">_xlfn.IFS('Form responses 1'!J14 = "Selected", 1, 'Form responses 1'!J14 = "Not Selected", 0, 0, TRUE)</f>
        <v>1</v>
      </c>
      <c r="K14" cm="1">
        <f t="array" ref="K14">_xlfn.IFS('Form responses 1'!K14 = "Selected", 1, 'Form responses 1'!K14 = "Not Selected", 0, 0, TRUE)</f>
        <v>0</v>
      </c>
      <c r="L14" cm="1">
        <f t="array" ref="L14">_xlfn.IFS('Form responses 1'!L14 = "Selected", 1, 'Form responses 1'!L14 = "Not Selected", 0, 0, TRUE)</f>
        <v>0</v>
      </c>
      <c r="M14" cm="1">
        <f t="array" ref="M14">_xlfn.IFS('Form responses 1'!M14 = "Selected", 1, 'Form responses 1'!M14 = "Not Selected", 0, 0, TRUE)</f>
        <v>0</v>
      </c>
      <c r="N14" cm="1">
        <f t="array" ref="N14">_xlfn.IFS('Form responses 1'!N14 = "Selected", 1, 'Form responses 1'!N14 = "Not Selected", 0, 0, TRUE)</f>
        <v>1</v>
      </c>
      <c r="O14" cm="1">
        <f t="array" ref="O14">_xlfn.IFS('Form responses 1'!O14 = "Yes", 1, 'Form responses 1'!O14 = "No", 2, 0, TRUE)</f>
        <v>2</v>
      </c>
      <c r="P14" cm="1">
        <f t="array" ref="P14">_xlfn.IFS('Form responses 1'!P14 = "Yes", 1, 'Form responses 1'!P14 = "No", 2, 'Form responses 1'!P14 = "Not sure", 3, 0, TRUE)</f>
        <v>1</v>
      </c>
      <c r="Q14" cm="1">
        <f t="array" ref="Q14">_xlfn.IFS('Form responses 1'!Q14 = "Yes", 1, 'Form responses 1'!Q14 = "No", 2, 0, TRUE)</f>
        <v>1</v>
      </c>
      <c r="R14" cm="1">
        <f t="array" ref="R14">_xlfn.IFS('Form responses 1'!R14 = "Yes", 1, 'Form responses 1'!R14 = "No", 2, 0, TRUE)</f>
        <v>2</v>
      </c>
      <c r="S14" cm="1">
        <f t="array" ref="S14">_xlfn.IFS('Form responses 1'!S14 = "Severely embarrassed", 1, 'Form responses 1'!S14 = "Somewhat uncomfortable", 2, 'Form responses 1'!S14= "Not affected", 3, 'Form responses 1'!S14= "Indifferent", 4, 0, TRUE)</f>
        <v>3</v>
      </c>
      <c r="T14" cm="1">
        <f t="array" ref="T14">_xlfn.IFS('Form responses 1'!T14 = "Yes", 1, 'Form responses 1'!T14 = "No", 2, 'Form responses 1'!T14 = "Not sure", 3, 0, TRUE)</f>
        <v>1</v>
      </c>
      <c r="U14" cm="1">
        <f t="array" ref="U14">_xlfn.IFS('Form responses 1'!U14 = "Strongly agree", 1, 'Form responses 1'!U14 = "Agree", 2, 'Form responses 1'!U14 = "Neutral", 3, 'Form responses 1'!U14 = "Disagree", 4, 0, TRUE)</f>
        <v>1</v>
      </c>
      <c r="V14" cm="1">
        <f t="array" ref="V14">_xlfn.IFS('Form responses 1'!V14 = "Selected", 1, 'Form responses 1'!V14 = "Not Selected", 0, 0, TRUE)</f>
        <v>1</v>
      </c>
      <c r="W14" cm="1">
        <f t="array" ref="W14">_xlfn.IFS('Form responses 1'!W14 = "Selected", 1, 'Form responses 1'!W14 = "Not Selected", 0, 0, TRUE)</f>
        <v>0</v>
      </c>
      <c r="X14" cm="1">
        <f t="array" ref="X14">_xlfn.IFS('Form responses 1'!X14 = "Selected", 1, 'Form responses 1'!X14 = "Not Selected", 0, 0, TRUE)</f>
        <v>1</v>
      </c>
      <c r="Y14" cm="1">
        <f t="array" ref="Y14">_xlfn.IFS('Form responses 1'!Y14 = "Selected", 1, 'Form responses 1'!Y14 = "Not Selected", 0, 0, TRUE)</f>
        <v>0</v>
      </c>
      <c r="Z14" cm="1">
        <f t="array" ref="Z14">_xlfn.IFS('Form responses 1'!Z14 = "Selected", 1, 'Form responses 1'!Z14 = "Not Selected", 0, 0, TRUE)</f>
        <v>1</v>
      </c>
      <c r="AA14" cm="1">
        <f t="array" ref="AA14">_xlfn.IFS('Form responses 1'!AA14 = "Very effective", 1, 'Form responses 1'!AA14 = "Somewhat effective", 2, 'Form responses 1'!AA14 = "Not effective", 3, 'Form responses 1'!AA14 = "Made it worse", 4, 0, TRUE)</f>
        <v>1</v>
      </c>
      <c r="AB14" cm="1">
        <f t="array" ref="AB14">_xlfn.IFS('Form responses 1'!AB14 = "Yes", 1, 'Form responses 1'!AB14 = "No", 2, 'Form responses 1'!AB14 = "Not sure", 3, 0, TRUE)</f>
        <v>1</v>
      </c>
      <c r="AC14" cm="1">
        <f t="array" ref="AC14">_xlfn.IFS('Form responses 1'!AC14 = "Yes", 1, 'Form responses 1'!AC14 = "No", 2, 0, TRUE)</f>
        <v>1</v>
      </c>
    </row>
    <row r="15" spans="1:29" x14ac:dyDescent="0.2">
      <c r="A15" cm="1">
        <f t="array" ref="A15">_xlfn.IFS('Form responses 1'!A15 = "18-24 years", 1, 'Form responses 1'!A15 = "25-34 years", 2, 'Form responses 1'!A15= "35-44 years", 3, 'Form responses 1'!A15= "45-54 years", 4, 'Form responses 1'!A15= "55-64 years", 5, 'Form responses 1'!A15= "65 &amp; above", 6, 0, TRUE)</f>
        <v>2</v>
      </c>
      <c r="B15" cm="1">
        <f t="array" ref="B15">_xlfn.IFS('Form responses 1'!B15 = "Female", 1, 'Form responses 1'!B15 = "Male", 2, 0, TRUE)</f>
        <v>1</v>
      </c>
      <c r="C15" t="s">
        <v>45</v>
      </c>
      <c r="D15" cm="1">
        <f t="array" ref="D15">_xlfn.IFS('Form responses 1'!D15 = "Once", 1, 'Form responses 1'!D15 = "Twice", 2, 'Form responses 1'!D15= "More than twice", 3, 'Form responses 1'!D15= "Occasionally", 4, 0, TRUE)</f>
        <v>3</v>
      </c>
      <c r="E15" cm="1">
        <f t="array" ref="E15">_xlfn.IFS('Form responses 1'!E15 = "Selected", 1, 'Form responses 1'!E15 = "Not Selected", 0, 0, TRUE)</f>
        <v>1</v>
      </c>
      <c r="F15" cm="1">
        <f t="array" ref="F15">_xlfn.IFS('Form responses 1'!F15 = "Selected", 1, 'Form responses 1'!F15 = "Not Selected", 0, 0, TRUE)</f>
        <v>1</v>
      </c>
      <c r="G15" cm="1">
        <f t="array" ref="G15">_xlfn.IFS('Form responses 1'!G15 = "Selected", 1, 'Form responses 1'!G15 = "Not Selected", 0, 0, TRUE)</f>
        <v>0</v>
      </c>
      <c r="H15" cm="1">
        <f t="array" ref="H15">_xlfn.IFS('Form responses 1'!H15 = "Selected", 1, 'Form responses 1'!H15 = "Not Selected", 0, 0, TRUE)</f>
        <v>0</v>
      </c>
      <c r="I15" cm="1">
        <f t="array" ref="I15">_xlfn.IFS('Form responses 1'!I15 = "Selected", 1, 'Form responses 1'!I15 = "Not Selected", 0, 0, TRUE)</f>
        <v>0</v>
      </c>
      <c r="J15" cm="1">
        <f t="array" ref="J15">_xlfn.IFS('Form responses 1'!J15 = "Selected", 1, 'Form responses 1'!J15 = "Not Selected", 0, 0, TRUE)</f>
        <v>0</v>
      </c>
      <c r="K15" cm="1">
        <f t="array" ref="K15">_xlfn.IFS('Form responses 1'!K15 = "Selected", 1, 'Form responses 1'!K15 = "Not Selected", 0, 0, TRUE)</f>
        <v>1</v>
      </c>
      <c r="L15" cm="1">
        <f t="array" ref="L15">_xlfn.IFS('Form responses 1'!L15 = "Selected", 1, 'Form responses 1'!L15 = "Not Selected", 0, 0, TRUE)</f>
        <v>0</v>
      </c>
      <c r="M15" cm="1">
        <f t="array" ref="M15">_xlfn.IFS('Form responses 1'!M15 = "Selected", 1, 'Form responses 1'!M15 = "Not Selected", 0, 0, TRUE)</f>
        <v>0</v>
      </c>
      <c r="N15" cm="1">
        <f t="array" ref="N15">_xlfn.IFS('Form responses 1'!N15 = "Selected", 1, 'Form responses 1'!N15 = "Not Selected", 0, 0, TRUE)</f>
        <v>0</v>
      </c>
      <c r="O15" cm="1">
        <f t="array" ref="O15">_xlfn.IFS('Form responses 1'!O15 = "Yes", 1, 'Form responses 1'!O15 = "No", 2, 0, TRUE)</f>
        <v>2</v>
      </c>
      <c r="P15" cm="1">
        <f t="array" ref="P15">_xlfn.IFS('Form responses 1'!P15 = "Yes", 1, 'Form responses 1'!P15 = "No", 2, 'Form responses 1'!P15 = "Not sure", 3, 0, TRUE)</f>
        <v>3</v>
      </c>
      <c r="Q15" cm="1">
        <f t="array" ref="Q15">_xlfn.IFS('Form responses 1'!Q15 = "Yes", 1, 'Form responses 1'!Q15 = "No", 2, 0, TRUE)</f>
        <v>2</v>
      </c>
      <c r="R15" cm="1">
        <f t="array" ref="R15">_xlfn.IFS('Form responses 1'!R15 = "Yes", 1, 'Form responses 1'!R15 = "No", 2, 0, TRUE)</f>
        <v>2</v>
      </c>
      <c r="S15" cm="1">
        <f t="array" ref="S15">_xlfn.IFS('Form responses 1'!S15 = "Severely embarrassed", 1, 'Form responses 1'!S15 = "Somewhat uncomfortable", 2, 'Form responses 1'!S15= "Not affected", 3, 'Form responses 1'!S15= "Indifferent", 4, 0, TRUE)</f>
        <v>3</v>
      </c>
      <c r="T15" cm="1">
        <f t="array" ref="T15">_xlfn.IFS('Form responses 1'!T15 = "Yes", 1, 'Form responses 1'!T15 = "No", 2, 'Form responses 1'!T15 = "Not sure", 3, 0, TRUE)</f>
        <v>2</v>
      </c>
      <c r="U15" cm="1">
        <f t="array" ref="U15">_xlfn.IFS('Form responses 1'!U15 = "Strongly agree", 1, 'Form responses 1'!U15 = "Agree", 2, 'Form responses 1'!U15 = "Neutral", 3, 'Form responses 1'!U15 = "Disagree", 4, 0, TRUE)</f>
        <v>1</v>
      </c>
      <c r="V15" cm="1">
        <f t="array" ref="V15">_xlfn.IFS('Form responses 1'!V15 = "Selected", 1, 'Form responses 1'!V15 = "Not Selected", 0, 0, TRUE)</f>
        <v>0</v>
      </c>
      <c r="W15" cm="1">
        <f t="array" ref="W15">_xlfn.IFS('Form responses 1'!W15 = "Selected", 1, 'Form responses 1'!W15 = "Not Selected", 0, 0, TRUE)</f>
        <v>0</v>
      </c>
      <c r="X15" cm="1">
        <f t="array" ref="X15">_xlfn.IFS('Form responses 1'!X15 = "Selected", 1, 'Form responses 1'!X15 = "Not Selected", 0, 0, TRUE)</f>
        <v>0</v>
      </c>
      <c r="Y15" cm="1">
        <f t="array" ref="Y15">_xlfn.IFS('Form responses 1'!Y15 = "Selected", 1, 'Form responses 1'!Y15 = "Not Selected", 0, 0, TRUE)</f>
        <v>0</v>
      </c>
      <c r="Z15" cm="1">
        <f t="array" ref="Z15">_xlfn.IFS('Form responses 1'!Z15 = "Selected", 1, 'Form responses 1'!Z15 = "Not Selected", 0, 0, TRUE)</f>
        <v>1</v>
      </c>
      <c r="AA15" cm="1">
        <f t="array" ref="AA15">_xlfn.IFS('Form responses 1'!AA15 = "Very effective", 1, 'Form responses 1'!AA15 = "Somewhat effective", 2, 'Form responses 1'!AA15 = "Not effective", 3, 'Form responses 1'!AA15 = "Made it worse", 4, 0, TRUE)</f>
        <v>1</v>
      </c>
      <c r="AB15" cm="1">
        <f t="array" ref="AB15">_xlfn.IFS('Form responses 1'!AB15 = "Yes", 1, 'Form responses 1'!AB15 = "No", 2, 'Form responses 1'!AB15 = "Not sure", 3, 0, TRUE)</f>
        <v>1</v>
      </c>
      <c r="AC15" cm="1">
        <f t="array" ref="AC15">_xlfn.IFS('Form responses 1'!AC15 = "Yes", 1, 'Form responses 1'!AC15 = "No", 2, 0, TRUE)</f>
        <v>1</v>
      </c>
    </row>
    <row r="16" spans="1:29" x14ac:dyDescent="0.2">
      <c r="A16" cm="1">
        <f t="array" ref="A16">_xlfn.IFS('Form responses 1'!A16 = "18-24 years", 1, 'Form responses 1'!A16 = "25-34 years", 2, 'Form responses 1'!A16= "35-44 years", 3, 'Form responses 1'!A16= "45-54 years", 4, 'Form responses 1'!A16= "55-64 years", 5, 'Form responses 1'!A16= "65 &amp; above", 6, 0, TRUE)</f>
        <v>2</v>
      </c>
      <c r="B16" cm="1">
        <f t="array" ref="B16">_xlfn.IFS('Form responses 1'!B16 = "Female", 1, 'Form responses 1'!B16 = "Male", 2, 0, TRUE)</f>
        <v>1</v>
      </c>
      <c r="C16" t="s">
        <v>28</v>
      </c>
      <c r="D16" cm="1">
        <f t="array" ref="D16">_xlfn.IFS('Form responses 1'!D16 = "Once", 1, 'Form responses 1'!D16 = "Twice", 2, 'Form responses 1'!D16= "More than twice", 3, 'Form responses 1'!D16= "Occasionally", 4, 0, TRUE)</f>
        <v>2</v>
      </c>
      <c r="E16" cm="1">
        <f t="array" ref="E16">_xlfn.IFS('Form responses 1'!E16 = "Selected", 1, 'Form responses 1'!E16 = "Not Selected", 0, 0, TRUE)</f>
        <v>0</v>
      </c>
      <c r="F16" cm="1">
        <f t="array" ref="F16">_xlfn.IFS('Form responses 1'!F16 = "Selected", 1, 'Form responses 1'!F16 = "Not Selected", 0, 0, TRUE)</f>
        <v>1</v>
      </c>
      <c r="G16" cm="1">
        <f t="array" ref="G16">_xlfn.IFS('Form responses 1'!G16 = "Selected", 1, 'Form responses 1'!G16 = "Not Selected", 0, 0, TRUE)</f>
        <v>0</v>
      </c>
      <c r="H16" cm="1">
        <f t="array" ref="H16">_xlfn.IFS('Form responses 1'!H16 = "Selected", 1, 'Form responses 1'!H16 = "Not Selected", 0, 0, TRUE)</f>
        <v>0</v>
      </c>
      <c r="I16" cm="1">
        <f t="array" ref="I16">_xlfn.IFS('Form responses 1'!I16 = "Selected", 1, 'Form responses 1'!I16 = "Not Selected", 0, 0, TRUE)</f>
        <v>0</v>
      </c>
      <c r="J16" cm="1">
        <f t="array" ref="J16">_xlfn.IFS('Form responses 1'!J16 = "Selected", 1, 'Form responses 1'!J16 = "Not Selected", 0, 0, TRUE)</f>
        <v>1</v>
      </c>
      <c r="K16" cm="1">
        <f t="array" ref="K16">_xlfn.IFS('Form responses 1'!K16 = "Selected", 1, 'Form responses 1'!K16 = "Not Selected", 0, 0, TRUE)</f>
        <v>0</v>
      </c>
      <c r="L16" cm="1">
        <f t="array" ref="L16">_xlfn.IFS('Form responses 1'!L16 = "Selected", 1, 'Form responses 1'!L16 = "Not Selected", 0, 0, TRUE)</f>
        <v>0</v>
      </c>
      <c r="M16" cm="1">
        <f t="array" ref="M16">_xlfn.IFS('Form responses 1'!M16 = "Selected", 1, 'Form responses 1'!M16 = "Not Selected", 0, 0, TRUE)</f>
        <v>0</v>
      </c>
      <c r="N16" cm="1">
        <f t="array" ref="N16">_xlfn.IFS('Form responses 1'!N16 = "Selected", 1, 'Form responses 1'!N16 = "Not Selected", 0, 0, TRUE)</f>
        <v>0</v>
      </c>
      <c r="O16" cm="1">
        <f t="array" ref="O16">_xlfn.IFS('Form responses 1'!O16 = "Yes", 1, 'Form responses 1'!O16 = "No", 2, 0, TRUE)</f>
        <v>2</v>
      </c>
      <c r="P16" cm="1">
        <f t="array" ref="P16">_xlfn.IFS('Form responses 1'!P16 = "Yes", 1, 'Form responses 1'!P16 = "No", 2, 'Form responses 1'!P16 = "Not sure", 3, 0, TRUE)</f>
        <v>2</v>
      </c>
      <c r="Q16" cm="1">
        <f t="array" ref="Q16">_xlfn.IFS('Form responses 1'!Q16 = "Yes", 1, 'Form responses 1'!Q16 = "No", 2, 0, TRUE)</f>
        <v>2</v>
      </c>
      <c r="R16" cm="1">
        <f t="array" ref="R16">_xlfn.IFS('Form responses 1'!R16 = "Yes", 1, 'Form responses 1'!R16 = "No", 2, 0, TRUE)</f>
        <v>2</v>
      </c>
      <c r="S16" cm="1">
        <f t="array" ref="S16">_xlfn.IFS('Form responses 1'!S16 = "Severely embarrassed", 1, 'Form responses 1'!S16 = "Somewhat uncomfortable", 2, 'Form responses 1'!S16= "Not affected", 3, 'Form responses 1'!S16= "Indifferent", 4, 0, TRUE)</f>
        <v>3</v>
      </c>
      <c r="T16" cm="1">
        <f t="array" ref="T16">_xlfn.IFS('Form responses 1'!T16 = "Yes", 1, 'Form responses 1'!T16 = "No", 2, 'Form responses 1'!T16 = "Not sure", 3, 0, TRUE)</f>
        <v>2</v>
      </c>
      <c r="U16" cm="1">
        <f t="array" ref="U16">_xlfn.IFS('Form responses 1'!U16 = "Strongly agree", 1, 'Form responses 1'!U16 = "Agree", 2, 'Form responses 1'!U16 = "Neutral", 3, 'Form responses 1'!U16 = "Disagree", 4, 0, TRUE)</f>
        <v>2</v>
      </c>
      <c r="V16" cm="1">
        <f t="array" ref="V16">_xlfn.IFS('Form responses 1'!V16 = "Selected", 1, 'Form responses 1'!V16 = "Not Selected", 0, 0, TRUE)</f>
        <v>0</v>
      </c>
      <c r="W16" cm="1">
        <f t="array" ref="W16">_xlfn.IFS('Form responses 1'!W16 = "Selected", 1, 'Form responses 1'!W16 = "Not Selected", 0, 0, TRUE)</f>
        <v>0</v>
      </c>
      <c r="X16" cm="1">
        <f t="array" ref="X16">_xlfn.IFS('Form responses 1'!X16 = "Selected", 1, 'Form responses 1'!X16 = "Not Selected", 0, 0, TRUE)</f>
        <v>0</v>
      </c>
      <c r="Y16" cm="1">
        <f t="array" ref="Y16">_xlfn.IFS('Form responses 1'!Y16 = "Selected", 1, 'Form responses 1'!Y16 = "Not Selected", 0, 0, TRUE)</f>
        <v>0</v>
      </c>
      <c r="Z16" cm="1">
        <f t="array" ref="Z16">_xlfn.IFS('Form responses 1'!Z16 = "Selected", 1, 'Form responses 1'!Z16 = "Not Selected", 0, 0, TRUE)</f>
        <v>1</v>
      </c>
      <c r="AA16" cm="1">
        <f t="array" ref="AA16">_xlfn.IFS('Form responses 1'!AA16 = "Very effective", 1, 'Form responses 1'!AA16 = "Somewhat effective", 2, 'Form responses 1'!AA16 = "Not effective", 3, 'Form responses 1'!AA16 = "Made it worse", 4, 0, TRUE)</f>
        <v>1</v>
      </c>
      <c r="AB16" cm="1">
        <f t="array" ref="AB16">_xlfn.IFS('Form responses 1'!AB16 = "Yes", 1, 'Form responses 1'!AB16 = "No", 2, 'Form responses 1'!AB16 = "Not sure", 3, 0, TRUE)</f>
        <v>1</v>
      </c>
      <c r="AC16" cm="1">
        <f t="array" ref="AC16">_xlfn.IFS('Form responses 1'!AC16 = "Yes", 1, 'Form responses 1'!AC16 = "No", 2, 0, TRUE)</f>
        <v>1</v>
      </c>
    </row>
    <row r="17" spans="1:29" x14ac:dyDescent="0.2">
      <c r="A17" cm="1">
        <f t="array" ref="A17">_xlfn.IFS('Form responses 1'!A17 = "18-24 years", 1, 'Form responses 1'!A17 = "25-34 years", 2, 'Form responses 1'!A17= "35-44 years", 3, 'Form responses 1'!A17= "45-54 years", 4, 'Form responses 1'!A17= "55-64 years", 5, 'Form responses 1'!A17= "65 &amp; above", 6, 0, TRUE)</f>
        <v>2</v>
      </c>
      <c r="B17" cm="1">
        <f t="array" ref="B17">_xlfn.IFS('Form responses 1'!B17 = "Female", 1, 'Form responses 1'!B17 = "Male", 2, 0, TRUE)</f>
        <v>1</v>
      </c>
      <c r="C17" t="s">
        <v>28</v>
      </c>
      <c r="D17" cm="1">
        <f t="array" ref="D17">_xlfn.IFS('Form responses 1'!D17 = "Once", 1, 'Form responses 1'!D17 = "Twice", 2, 'Form responses 1'!D17= "More than twice", 3, 'Form responses 1'!D17= "Occasionally", 4, 0, TRUE)</f>
        <v>2</v>
      </c>
      <c r="E17" cm="1">
        <f t="array" ref="E17">_xlfn.IFS('Form responses 1'!E17 = "Selected", 1, 'Form responses 1'!E17 = "Not Selected", 0, 0, TRUE)</f>
        <v>0</v>
      </c>
      <c r="F17" cm="1">
        <f t="array" ref="F17">_xlfn.IFS('Form responses 1'!F17 = "Selected", 1, 'Form responses 1'!F17 = "Not Selected", 0, 0, TRUE)</f>
        <v>1</v>
      </c>
      <c r="G17" cm="1">
        <f t="array" ref="G17">_xlfn.IFS('Form responses 1'!G17 = "Selected", 1, 'Form responses 1'!G17 = "Not Selected", 0, 0, TRUE)</f>
        <v>0</v>
      </c>
      <c r="H17" cm="1">
        <f t="array" ref="H17">_xlfn.IFS('Form responses 1'!H17 = "Selected", 1, 'Form responses 1'!H17 = "Not Selected", 0, 0, TRUE)</f>
        <v>0</v>
      </c>
      <c r="I17" cm="1">
        <f t="array" ref="I17">_xlfn.IFS('Form responses 1'!I17 = "Selected", 1, 'Form responses 1'!I17 = "Not Selected", 0, 0, TRUE)</f>
        <v>0</v>
      </c>
      <c r="J17" cm="1">
        <f t="array" ref="J17">_xlfn.IFS('Form responses 1'!J17 = "Selected", 1, 'Form responses 1'!J17 = "Not Selected", 0, 0, TRUE)</f>
        <v>1</v>
      </c>
      <c r="K17" cm="1">
        <f t="array" ref="K17">_xlfn.IFS('Form responses 1'!K17 = "Selected", 1, 'Form responses 1'!K17 = "Not Selected", 0, 0, TRUE)</f>
        <v>0</v>
      </c>
      <c r="L17" cm="1">
        <f t="array" ref="L17">_xlfn.IFS('Form responses 1'!L17 = "Selected", 1, 'Form responses 1'!L17 = "Not Selected", 0, 0, TRUE)</f>
        <v>0</v>
      </c>
      <c r="M17" cm="1">
        <f t="array" ref="M17">_xlfn.IFS('Form responses 1'!M17 = "Selected", 1, 'Form responses 1'!M17 = "Not Selected", 0, 0, TRUE)</f>
        <v>0</v>
      </c>
      <c r="N17" cm="1">
        <f t="array" ref="N17">_xlfn.IFS('Form responses 1'!N17 = "Selected", 1, 'Form responses 1'!N17 = "Not Selected", 0, 0, TRUE)</f>
        <v>0</v>
      </c>
      <c r="O17" cm="1">
        <f t="array" ref="O17">_xlfn.IFS('Form responses 1'!O17 = "Yes", 1, 'Form responses 1'!O17 = "No", 2, 0, TRUE)</f>
        <v>2</v>
      </c>
      <c r="P17" cm="1">
        <f t="array" ref="P17">_xlfn.IFS('Form responses 1'!P17 = "Yes", 1, 'Form responses 1'!P17 = "No", 2, 'Form responses 1'!P17 = "Not sure", 3, 0, TRUE)</f>
        <v>1</v>
      </c>
      <c r="Q17" cm="1">
        <f t="array" ref="Q17">_xlfn.IFS('Form responses 1'!Q17 = "Yes", 1, 'Form responses 1'!Q17 = "No", 2, 0, TRUE)</f>
        <v>2</v>
      </c>
      <c r="R17" cm="1">
        <f t="array" ref="R17">_xlfn.IFS('Form responses 1'!R17 = "Yes", 1, 'Form responses 1'!R17 = "No", 2, 0, TRUE)</f>
        <v>1</v>
      </c>
      <c r="S17" cm="1">
        <f t="array" ref="S17">_xlfn.IFS('Form responses 1'!S17 = "Severely embarrassed", 1, 'Form responses 1'!S17 = "Somewhat uncomfortable", 2, 'Form responses 1'!S17= "Not affected", 3, 'Form responses 1'!S17= "Indifferent", 4, 0, TRUE)</f>
        <v>1</v>
      </c>
      <c r="T17" cm="1">
        <f t="array" ref="T17">_xlfn.IFS('Form responses 1'!T17 = "Yes", 1, 'Form responses 1'!T17 = "No", 2, 'Form responses 1'!T17 = "Not sure", 3, 0, TRUE)</f>
        <v>1</v>
      </c>
      <c r="U17" cm="1">
        <f t="array" ref="U17">_xlfn.IFS('Form responses 1'!U17 = "Strongly agree", 1, 'Form responses 1'!U17 = "Agree", 2, 'Form responses 1'!U17 = "Neutral", 3, 'Form responses 1'!U17 = "Disagree", 4, 0, TRUE)</f>
        <v>2</v>
      </c>
      <c r="V17" cm="1">
        <f t="array" ref="V17">_xlfn.IFS('Form responses 1'!V17 = "Selected", 1, 'Form responses 1'!V17 = "Not Selected", 0, 0, TRUE)</f>
        <v>0</v>
      </c>
      <c r="W17" cm="1">
        <f t="array" ref="W17">_xlfn.IFS('Form responses 1'!W17 = "Selected", 1, 'Form responses 1'!W17 = "Not Selected", 0, 0, TRUE)</f>
        <v>0</v>
      </c>
      <c r="X17" cm="1">
        <f t="array" ref="X17">_xlfn.IFS('Form responses 1'!X17 = "Selected", 1, 'Form responses 1'!X17 = "Not Selected", 0, 0, TRUE)</f>
        <v>0</v>
      </c>
      <c r="Y17" cm="1">
        <f t="array" ref="Y17">_xlfn.IFS('Form responses 1'!Y17 = "Selected", 1, 'Form responses 1'!Y17 = "Not Selected", 0, 0, TRUE)</f>
        <v>0</v>
      </c>
      <c r="Z17" cm="1">
        <f t="array" ref="Z17">_xlfn.IFS('Form responses 1'!Z17 = "Selected", 1, 'Form responses 1'!Z17 = "Not Selected", 0, 0, TRUE)</f>
        <v>1</v>
      </c>
      <c r="AA17" cm="1">
        <f t="array" ref="AA17">_xlfn.IFS('Form responses 1'!AA17 = "Very effective", 1, 'Form responses 1'!AA17 = "Somewhat effective", 2, 'Form responses 1'!AA17 = "Not effective", 3, 'Form responses 1'!AA17 = "Made it worse", 4, 0, TRUE)</f>
        <v>2</v>
      </c>
      <c r="AB17" cm="1">
        <f t="array" ref="AB17">_xlfn.IFS('Form responses 1'!AB17 = "Yes", 1, 'Form responses 1'!AB17 = "No", 2, 'Form responses 1'!AB17 = "Not sure", 3, 0, TRUE)</f>
        <v>1</v>
      </c>
      <c r="AC17" cm="1">
        <f t="array" ref="AC17">_xlfn.IFS('Form responses 1'!AC17 = "Yes", 1, 'Form responses 1'!AC17 = "No", 2, 0, TRUE)</f>
        <v>1</v>
      </c>
    </row>
    <row r="18" spans="1:29" x14ac:dyDescent="0.2">
      <c r="A18" cm="1">
        <f t="array" ref="A18">_xlfn.IFS('Form responses 1'!A18 = "18-24 years", 1, 'Form responses 1'!A18 = "25-34 years", 2, 'Form responses 1'!A18= "35-44 years", 3, 'Form responses 1'!A18= "45-54 years", 4, 'Form responses 1'!A18= "55-64 years", 5, 'Form responses 1'!A18= "65 &amp; above", 6, 0, TRUE)</f>
        <v>1</v>
      </c>
      <c r="B18" cm="1">
        <f t="array" ref="B18">_xlfn.IFS('Form responses 1'!B18 = "Female", 1, 'Form responses 1'!B18 = "Male", 2, 0, TRUE)</f>
        <v>2</v>
      </c>
      <c r="C18" t="s">
        <v>48</v>
      </c>
      <c r="D18" cm="1">
        <f t="array" ref="D18">_xlfn.IFS('Form responses 1'!D18 = "Once", 1, 'Form responses 1'!D18 = "Twice", 2, 'Form responses 1'!D18= "More than twice", 3, 'Form responses 1'!D18= "Occasionally", 4, 0, TRUE)</f>
        <v>2</v>
      </c>
      <c r="E18" cm="1">
        <f t="array" ref="E18">_xlfn.IFS('Form responses 1'!E18 = "Selected", 1, 'Form responses 1'!E18 = "Not Selected", 0, 0, TRUE)</f>
        <v>1</v>
      </c>
      <c r="F18" cm="1">
        <f t="array" ref="F18">_xlfn.IFS('Form responses 1'!F18 = "Selected", 1, 'Form responses 1'!F18 = "Not Selected", 0, 0, TRUE)</f>
        <v>1</v>
      </c>
      <c r="G18" cm="1">
        <f t="array" ref="G18">_xlfn.IFS('Form responses 1'!G18 = "Selected", 1, 'Form responses 1'!G18 = "Not Selected", 0, 0, TRUE)</f>
        <v>0</v>
      </c>
      <c r="H18" cm="1">
        <f t="array" ref="H18">_xlfn.IFS('Form responses 1'!H18 = "Selected", 1, 'Form responses 1'!H18 = "Not Selected", 0, 0, TRUE)</f>
        <v>0</v>
      </c>
      <c r="I18" cm="1">
        <f t="array" ref="I18">_xlfn.IFS('Form responses 1'!I18 = "Selected", 1, 'Form responses 1'!I18 = "Not Selected", 0, 0, TRUE)</f>
        <v>0</v>
      </c>
      <c r="J18" cm="1">
        <f t="array" ref="J18">_xlfn.IFS('Form responses 1'!J18 = "Selected", 1, 'Form responses 1'!J18 = "Not Selected", 0, 0, TRUE)</f>
        <v>0</v>
      </c>
      <c r="K18" cm="1">
        <f t="array" ref="K18">_xlfn.IFS('Form responses 1'!K18 = "Selected", 1, 'Form responses 1'!K18 = "Not Selected", 0, 0, TRUE)</f>
        <v>0</v>
      </c>
      <c r="L18" cm="1">
        <f t="array" ref="L18">_xlfn.IFS('Form responses 1'!L18 = "Selected", 1, 'Form responses 1'!L18 = "Not Selected", 0, 0, TRUE)</f>
        <v>0</v>
      </c>
      <c r="M18" cm="1">
        <f t="array" ref="M18">_xlfn.IFS('Form responses 1'!M18 = "Selected", 1, 'Form responses 1'!M18 = "Not Selected", 0, 0, TRUE)</f>
        <v>0</v>
      </c>
      <c r="N18" cm="1">
        <f t="array" ref="N18">_xlfn.IFS('Form responses 1'!N18 = "Selected", 1, 'Form responses 1'!N18 = "Not Selected", 0, 0, TRUE)</f>
        <v>1</v>
      </c>
      <c r="O18" cm="1">
        <f t="array" ref="O18">_xlfn.IFS('Form responses 1'!O18 = "Yes", 1, 'Form responses 1'!O18 = "No", 2, 0, TRUE)</f>
        <v>2</v>
      </c>
      <c r="P18" cm="1">
        <f t="array" ref="P18">_xlfn.IFS('Form responses 1'!P18 = "Yes", 1, 'Form responses 1'!P18 = "No", 2, 'Form responses 1'!P18 = "Not sure", 3, 0, TRUE)</f>
        <v>2</v>
      </c>
      <c r="Q18" cm="1">
        <f t="array" ref="Q18">_xlfn.IFS('Form responses 1'!Q18 = "Yes", 1, 'Form responses 1'!Q18 = "No", 2, 0, TRUE)</f>
        <v>2</v>
      </c>
      <c r="R18" cm="1">
        <f t="array" ref="R18">_xlfn.IFS('Form responses 1'!R18 = "Yes", 1, 'Form responses 1'!R18 = "No", 2, 0, TRUE)</f>
        <v>2</v>
      </c>
      <c r="S18" cm="1">
        <f t="array" ref="S18">_xlfn.IFS('Form responses 1'!S18 = "Severely embarrassed", 1, 'Form responses 1'!S18 = "Somewhat uncomfortable", 2, 'Form responses 1'!S18= "Not affected", 3, 'Form responses 1'!S18= "Indifferent", 4, 0, TRUE)</f>
        <v>3</v>
      </c>
      <c r="T18" cm="1">
        <f t="array" ref="T18">_xlfn.IFS('Form responses 1'!T18 = "Yes", 1, 'Form responses 1'!T18 = "No", 2, 'Form responses 1'!T18 = "Not sure", 3, 0, TRUE)</f>
        <v>2</v>
      </c>
      <c r="U18" cm="1">
        <f t="array" ref="U18">_xlfn.IFS('Form responses 1'!U18 = "Strongly agree", 1, 'Form responses 1'!U18 = "Agree", 2, 'Form responses 1'!U18 = "Neutral", 3, 'Form responses 1'!U18 = "Disagree", 4, 0, TRUE)</f>
        <v>1</v>
      </c>
      <c r="V18" cm="1">
        <f t="array" ref="V18">_xlfn.IFS('Form responses 1'!V18 = "Selected", 1, 'Form responses 1'!V18 = "Not Selected", 0, 0, TRUE)</f>
        <v>1</v>
      </c>
      <c r="W18" cm="1">
        <f t="array" ref="W18">_xlfn.IFS('Form responses 1'!W18 = "Selected", 1, 'Form responses 1'!W18 = "Not Selected", 0, 0, TRUE)</f>
        <v>0</v>
      </c>
      <c r="X18" cm="1">
        <f t="array" ref="X18">_xlfn.IFS('Form responses 1'!X18 = "Selected", 1, 'Form responses 1'!X18 = "Not Selected", 0, 0, TRUE)</f>
        <v>0</v>
      </c>
      <c r="Y18" cm="1">
        <f t="array" ref="Y18">_xlfn.IFS('Form responses 1'!Y18 = "Selected", 1, 'Form responses 1'!Y18 = "Not Selected", 0, 0, TRUE)</f>
        <v>0</v>
      </c>
      <c r="Z18" cm="1">
        <f t="array" ref="Z18">_xlfn.IFS('Form responses 1'!Z18 = "Selected", 1, 'Form responses 1'!Z18 = "Not Selected", 0, 0, TRUE)</f>
        <v>1</v>
      </c>
      <c r="AA18" cm="1">
        <f t="array" ref="AA18">_xlfn.IFS('Form responses 1'!AA18 = "Very effective", 1, 'Form responses 1'!AA18 = "Somewhat effective", 2, 'Form responses 1'!AA18 = "Not effective", 3, 'Form responses 1'!AA18 = "Made it worse", 4, 0, TRUE)</f>
        <v>1</v>
      </c>
      <c r="AB18" cm="1">
        <f t="array" ref="AB18">_xlfn.IFS('Form responses 1'!AB18 = "Yes", 1, 'Form responses 1'!AB18 = "No", 2, 'Form responses 1'!AB18 = "Not sure", 3, 0, TRUE)</f>
        <v>2</v>
      </c>
      <c r="AC18" cm="1">
        <f t="array" ref="AC18">_xlfn.IFS('Form responses 1'!AC18 = "Yes", 1, 'Form responses 1'!AC18 = "No", 2, 0, TRUE)</f>
        <v>1</v>
      </c>
    </row>
    <row r="19" spans="1:29" x14ac:dyDescent="0.2">
      <c r="A19" cm="1">
        <f t="array" ref="A19">_xlfn.IFS('Form responses 1'!A19 = "18-24 years", 1, 'Form responses 1'!A19 = "25-34 years", 2, 'Form responses 1'!A19= "35-44 years", 3, 'Form responses 1'!A19= "45-54 years", 4, 'Form responses 1'!A19= "55-64 years", 5, 'Form responses 1'!A19= "65 &amp; above", 6, 0, TRUE)</f>
        <v>2</v>
      </c>
      <c r="B19" cm="1">
        <f t="array" ref="B19">_xlfn.IFS('Form responses 1'!B19 = "Female", 1, 'Form responses 1'!B19 = "Male", 2, 0, TRUE)</f>
        <v>1</v>
      </c>
      <c r="C19" t="s">
        <v>35</v>
      </c>
      <c r="D19" cm="1">
        <f t="array" ref="D19">_xlfn.IFS('Form responses 1'!D19 = "Once", 1, 'Form responses 1'!D19 = "Twice", 2, 'Form responses 1'!D19= "More than twice", 3, 'Form responses 1'!D19= "Occasionally", 4, 0, TRUE)</f>
        <v>2</v>
      </c>
      <c r="E19" cm="1">
        <f t="array" ref="E19">_xlfn.IFS('Form responses 1'!E19 = "Selected", 1, 'Form responses 1'!E19 = "Not Selected", 0, 0, TRUE)</f>
        <v>1</v>
      </c>
      <c r="F19" cm="1">
        <f t="array" ref="F19">_xlfn.IFS('Form responses 1'!F19 = "Selected", 1, 'Form responses 1'!F19 = "Not Selected", 0, 0, TRUE)</f>
        <v>1</v>
      </c>
      <c r="G19" cm="1">
        <f t="array" ref="G19">_xlfn.IFS('Form responses 1'!G19 = "Selected", 1, 'Form responses 1'!G19 = "Not Selected", 0, 0, TRUE)</f>
        <v>0</v>
      </c>
      <c r="H19" cm="1">
        <f t="array" ref="H19">_xlfn.IFS('Form responses 1'!H19 = "Selected", 1, 'Form responses 1'!H19 = "Not Selected", 0, 0, TRUE)</f>
        <v>0</v>
      </c>
      <c r="I19" cm="1">
        <f t="array" ref="I19">_xlfn.IFS('Form responses 1'!I19 = "Selected", 1, 'Form responses 1'!I19 = "Not Selected", 0, 0, TRUE)</f>
        <v>0</v>
      </c>
      <c r="J19" cm="1">
        <f t="array" ref="J19">_xlfn.IFS('Form responses 1'!J19 = "Selected", 1, 'Form responses 1'!J19 = "Not Selected", 0, 0, TRUE)</f>
        <v>1</v>
      </c>
      <c r="K19" cm="1">
        <f t="array" ref="K19">_xlfn.IFS('Form responses 1'!K19 = "Selected", 1, 'Form responses 1'!K19 = "Not Selected", 0, 0, TRUE)</f>
        <v>1</v>
      </c>
      <c r="L19" cm="1">
        <f t="array" ref="L19">_xlfn.IFS('Form responses 1'!L19 = "Selected", 1, 'Form responses 1'!L19 = "Not Selected", 0, 0, TRUE)</f>
        <v>1</v>
      </c>
      <c r="M19" cm="1">
        <f t="array" ref="M19">_xlfn.IFS('Form responses 1'!M19 = "Selected", 1, 'Form responses 1'!M19 = "Not Selected", 0, 0, TRUE)</f>
        <v>1</v>
      </c>
      <c r="N19" cm="1">
        <f t="array" ref="N19">_xlfn.IFS('Form responses 1'!N19 = "Selected", 1, 'Form responses 1'!N19 = "Not Selected", 0, 0, TRUE)</f>
        <v>1</v>
      </c>
      <c r="O19" cm="1">
        <f t="array" ref="O19">_xlfn.IFS('Form responses 1'!O19 = "Yes", 1, 'Form responses 1'!O19 = "No", 2, 0, TRUE)</f>
        <v>2</v>
      </c>
      <c r="P19" cm="1">
        <f t="array" ref="P19">_xlfn.IFS('Form responses 1'!P19 = "Yes", 1, 'Form responses 1'!P19 = "No", 2, 'Form responses 1'!P19 = "Not sure", 3, 0, TRUE)</f>
        <v>3</v>
      </c>
      <c r="Q19" cm="1">
        <f t="array" ref="Q19">_xlfn.IFS('Form responses 1'!Q19 = "Yes", 1, 'Form responses 1'!Q19 = "No", 2, 0, TRUE)</f>
        <v>2</v>
      </c>
      <c r="R19" cm="1">
        <f t="array" ref="R19">_xlfn.IFS('Form responses 1'!R19 = "Yes", 1, 'Form responses 1'!R19 = "No", 2, 0, TRUE)</f>
        <v>2</v>
      </c>
      <c r="S19" cm="1">
        <f t="array" ref="S19">_xlfn.IFS('Form responses 1'!S19 = "Severely embarrassed", 1, 'Form responses 1'!S19 = "Somewhat uncomfortable", 2, 'Form responses 1'!S19= "Not affected", 3, 'Form responses 1'!S19= "Indifferent", 4, 0, TRUE)</f>
        <v>3</v>
      </c>
      <c r="T19" cm="1">
        <f t="array" ref="T19">_xlfn.IFS('Form responses 1'!T19 = "Yes", 1, 'Form responses 1'!T19 = "No", 2, 'Form responses 1'!T19 = "Not sure", 3, 0, TRUE)</f>
        <v>1</v>
      </c>
      <c r="U19" cm="1">
        <f t="array" ref="U19">_xlfn.IFS('Form responses 1'!U19 = "Strongly agree", 1, 'Form responses 1'!U19 = "Agree", 2, 'Form responses 1'!U19 = "Neutral", 3, 'Form responses 1'!U19 = "Disagree", 4, 0, TRUE)</f>
        <v>1</v>
      </c>
      <c r="V19" cm="1">
        <f t="array" ref="V19">_xlfn.IFS('Form responses 1'!V19 = "Selected", 1, 'Form responses 1'!V19 = "Not Selected", 0, 0, TRUE)</f>
        <v>1</v>
      </c>
      <c r="W19" cm="1">
        <f t="array" ref="W19">_xlfn.IFS('Form responses 1'!W19 = "Selected", 1, 'Form responses 1'!W19 = "Not Selected", 0, 0, TRUE)</f>
        <v>1</v>
      </c>
      <c r="X19" cm="1">
        <f t="array" ref="X19">_xlfn.IFS('Form responses 1'!X19 = "Selected", 1, 'Form responses 1'!X19 = "Not Selected", 0, 0, TRUE)</f>
        <v>0</v>
      </c>
      <c r="Y19" cm="1">
        <f t="array" ref="Y19">_xlfn.IFS('Form responses 1'!Y19 = "Selected", 1, 'Form responses 1'!Y19 = "Not Selected", 0, 0, TRUE)</f>
        <v>0</v>
      </c>
      <c r="Z19" cm="1">
        <f t="array" ref="Z19">_xlfn.IFS('Form responses 1'!Z19 = "Selected", 1, 'Form responses 1'!Z19 = "Not Selected", 0, 0, TRUE)</f>
        <v>1</v>
      </c>
      <c r="AA19" cm="1">
        <f t="array" ref="AA19">_xlfn.IFS('Form responses 1'!AA19 = "Very effective", 1, 'Form responses 1'!AA19 = "Somewhat effective", 2, 'Form responses 1'!AA19 = "Not effective", 3, 'Form responses 1'!AA19 = "Made it worse", 4, 0, TRUE)</f>
        <v>1</v>
      </c>
      <c r="AB19" cm="1">
        <f t="array" ref="AB19">_xlfn.IFS('Form responses 1'!AB19 = "Yes", 1, 'Form responses 1'!AB19 = "No", 2, 'Form responses 1'!AB19 = "Not sure", 3, 0, TRUE)</f>
        <v>1</v>
      </c>
      <c r="AC19" cm="1">
        <f t="array" ref="AC19">_xlfn.IFS('Form responses 1'!AC19 = "Yes", 1, 'Form responses 1'!AC19 = "No", 2, 0, TRUE)</f>
        <v>1</v>
      </c>
    </row>
    <row r="20" spans="1:29" x14ac:dyDescent="0.2">
      <c r="A20" cm="1">
        <f t="array" ref="A20">_xlfn.IFS('Form responses 1'!A20 = "18-24 years", 1, 'Form responses 1'!A20 = "25-34 years", 2, 'Form responses 1'!A20= "35-44 years", 3, 'Form responses 1'!A20= "45-54 years", 4, 'Form responses 1'!A20= "55-64 years", 5, 'Form responses 1'!A20= "65 &amp; above", 6, 0, TRUE)</f>
        <v>2</v>
      </c>
      <c r="B20" cm="1">
        <f t="array" ref="B20">_xlfn.IFS('Form responses 1'!B20 = "Female", 1, 'Form responses 1'!B20 = "Male", 2, 0, TRUE)</f>
        <v>2</v>
      </c>
      <c r="C20" t="s">
        <v>50</v>
      </c>
      <c r="D20" cm="1">
        <f t="array" ref="D20">_xlfn.IFS('Form responses 1'!D20 = "Once", 1, 'Form responses 1'!D20 = "Twice", 2, 'Form responses 1'!D20= "More than twice", 3, 'Form responses 1'!D20= "Occasionally", 4, 0, TRUE)</f>
        <v>2</v>
      </c>
      <c r="E20" cm="1">
        <f t="array" ref="E20">_xlfn.IFS('Form responses 1'!E20 = "Selected", 1, 'Form responses 1'!E20 = "Not Selected", 0, 0, TRUE)</f>
        <v>1</v>
      </c>
      <c r="F20" cm="1">
        <f t="array" ref="F20">_xlfn.IFS('Form responses 1'!F20 = "Selected", 1, 'Form responses 1'!F20 = "Not Selected", 0, 0, TRUE)</f>
        <v>1</v>
      </c>
      <c r="G20" cm="1">
        <f t="array" ref="G20">_xlfn.IFS('Form responses 1'!G20 = "Selected", 1, 'Form responses 1'!G20 = "Not Selected", 0, 0, TRUE)</f>
        <v>1</v>
      </c>
      <c r="H20" cm="1">
        <f t="array" ref="H20">_xlfn.IFS('Form responses 1'!H20 = "Selected", 1, 'Form responses 1'!H20 = "Not Selected", 0, 0, TRUE)</f>
        <v>0</v>
      </c>
      <c r="I20" cm="1">
        <f t="array" ref="I20">_xlfn.IFS('Form responses 1'!I20 = "Selected", 1, 'Form responses 1'!I20 = "Not Selected", 0, 0, TRUE)</f>
        <v>0</v>
      </c>
      <c r="J20" cm="1">
        <f t="array" ref="J20">_xlfn.IFS('Form responses 1'!J20 = "Selected", 1, 'Form responses 1'!J20 = "Not Selected", 0, 0, TRUE)</f>
        <v>1</v>
      </c>
      <c r="K20" cm="1">
        <f t="array" ref="K20">_xlfn.IFS('Form responses 1'!K20 = "Selected", 1, 'Form responses 1'!K20 = "Not Selected", 0, 0, TRUE)</f>
        <v>1</v>
      </c>
      <c r="L20" cm="1">
        <f t="array" ref="L20">_xlfn.IFS('Form responses 1'!L20 = "Selected", 1, 'Form responses 1'!L20 = "Not Selected", 0, 0, TRUE)</f>
        <v>1</v>
      </c>
      <c r="M20" cm="1">
        <f t="array" ref="M20">_xlfn.IFS('Form responses 1'!M20 = "Selected", 1, 'Form responses 1'!M20 = "Not Selected", 0, 0, TRUE)</f>
        <v>1</v>
      </c>
      <c r="N20" cm="1">
        <f t="array" ref="N20">_xlfn.IFS('Form responses 1'!N20 = "Selected", 1, 'Form responses 1'!N20 = "Not Selected", 0, 0, TRUE)</f>
        <v>1</v>
      </c>
      <c r="O20" cm="1">
        <f t="array" ref="O20">_xlfn.IFS('Form responses 1'!O20 = "Yes", 1, 'Form responses 1'!O20 = "No", 2, 0, TRUE)</f>
        <v>1</v>
      </c>
      <c r="P20" cm="1">
        <f t="array" ref="P20">_xlfn.IFS('Form responses 1'!P20 = "Yes", 1, 'Form responses 1'!P20 = "No", 2, 'Form responses 1'!P20 = "Not sure", 3, 0, TRUE)</f>
        <v>1</v>
      </c>
      <c r="Q20" cm="1">
        <f t="array" ref="Q20">_xlfn.IFS('Form responses 1'!Q20 = "Yes", 1, 'Form responses 1'!Q20 = "No", 2, 0, TRUE)</f>
        <v>1</v>
      </c>
      <c r="R20" cm="1">
        <f t="array" ref="R20">_xlfn.IFS('Form responses 1'!R20 = "Yes", 1, 'Form responses 1'!R20 = "No", 2, 0, TRUE)</f>
        <v>1</v>
      </c>
      <c r="S20" cm="1">
        <f t="array" ref="S20">_xlfn.IFS('Form responses 1'!S20 = "Severely embarrassed", 1, 'Form responses 1'!S20 = "Somewhat uncomfortable", 2, 'Form responses 1'!S20= "Not affected", 3, 'Form responses 1'!S20= "Indifferent", 4, 0, TRUE)</f>
        <v>2</v>
      </c>
      <c r="T20" cm="1">
        <f t="array" ref="T20">_xlfn.IFS('Form responses 1'!T20 = "Yes", 1, 'Form responses 1'!T20 = "No", 2, 'Form responses 1'!T20 = "Not sure", 3, 0, TRUE)</f>
        <v>1</v>
      </c>
      <c r="U20" cm="1">
        <f t="array" ref="U20">_xlfn.IFS('Form responses 1'!U20 = "Strongly agree", 1, 'Form responses 1'!U20 = "Agree", 2, 'Form responses 1'!U20 = "Neutral", 3, 'Form responses 1'!U20 = "Disagree", 4, 0, TRUE)</f>
        <v>2</v>
      </c>
      <c r="V20" cm="1">
        <f t="array" ref="V20">_xlfn.IFS('Form responses 1'!V20 = "Selected", 1, 'Form responses 1'!V20 = "Not Selected", 0, 0, TRUE)</f>
        <v>1</v>
      </c>
      <c r="W20" cm="1">
        <f t="array" ref="W20">_xlfn.IFS('Form responses 1'!W20 = "Selected", 1, 'Form responses 1'!W20 = "Not Selected", 0, 0, TRUE)</f>
        <v>1</v>
      </c>
      <c r="X20" cm="1">
        <f t="array" ref="X20">_xlfn.IFS('Form responses 1'!X20 = "Selected", 1, 'Form responses 1'!X20 = "Not Selected", 0, 0, TRUE)</f>
        <v>0</v>
      </c>
      <c r="Y20" cm="1">
        <f t="array" ref="Y20">_xlfn.IFS('Form responses 1'!Y20 = "Selected", 1, 'Form responses 1'!Y20 = "Not Selected", 0, 0, TRUE)</f>
        <v>0</v>
      </c>
      <c r="Z20" cm="1">
        <f t="array" ref="Z20">_xlfn.IFS('Form responses 1'!Z20 = "Selected", 1, 'Form responses 1'!Z20 = "Not Selected", 0, 0, TRUE)</f>
        <v>1</v>
      </c>
      <c r="AA20" cm="1">
        <f t="array" ref="AA20">_xlfn.IFS('Form responses 1'!AA20 = "Very effective", 1, 'Form responses 1'!AA20 = "Somewhat effective", 2, 'Form responses 1'!AA20 = "Not effective", 3, 'Form responses 1'!AA20 = "Made it worse", 4, 0, TRUE)</f>
        <v>1</v>
      </c>
      <c r="AB20" cm="1">
        <f t="array" ref="AB20">_xlfn.IFS('Form responses 1'!AB20 = "Yes", 1, 'Form responses 1'!AB20 = "No", 2, 'Form responses 1'!AB20 = "Not sure", 3, 0, TRUE)</f>
        <v>1</v>
      </c>
      <c r="AC20" cm="1">
        <f t="array" ref="AC20">_xlfn.IFS('Form responses 1'!AC20 = "Yes", 1, 'Form responses 1'!AC20 = "No", 2, 0, TRUE)</f>
        <v>1</v>
      </c>
    </row>
    <row r="21" spans="1:29" x14ac:dyDescent="0.2">
      <c r="A21" cm="1">
        <f t="array" ref="A21">_xlfn.IFS('Form responses 1'!A21 = "18-24 years", 1, 'Form responses 1'!A21 = "25-34 years", 2, 'Form responses 1'!A21= "35-44 years", 3, 'Form responses 1'!A21= "45-54 years", 4, 'Form responses 1'!A21= "55-64 years", 5, 'Form responses 1'!A21= "65 &amp; above", 6, 0, TRUE)</f>
        <v>1</v>
      </c>
      <c r="B21" cm="1">
        <f t="array" ref="B21">_xlfn.IFS('Form responses 1'!B21 = "Female", 1, 'Form responses 1'!B21 = "Male", 2, 0, TRUE)</f>
        <v>1</v>
      </c>
      <c r="C21" t="s">
        <v>51</v>
      </c>
      <c r="D21" cm="1">
        <f t="array" ref="D21">_xlfn.IFS('Form responses 1'!D21 = "Once", 1, 'Form responses 1'!D21 = "Twice", 2, 'Form responses 1'!D21= "More than twice", 3, 'Form responses 1'!D21= "Occasionally", 4, 0, TRUE)</f>
        <v>2</v>
      </c>
      <c r="E21" cm="1">
        <f t="array" ref="E21">_xlfn.IFS('Form responses 1'!E21 = "Selected", 1, 'Form responses 1'!E21 = "Not Selected", 0, 0, TRUE)</f>
        <v>0</v>
      </c>
      <c r="F21" cm="1">
        <f t="array" ref="F21">_xlfn.IFS('Form responses 1'!F21 = "Selected", 1, 'Form responses 1'!F21 = "Not Selected", 0, 0, TRUE)</f>
        <v>1</v>
      </c>
      <c r="G21" cm="1">
        <f t="array" ref="G21">_xlfn.IFS('Form responses 1'!G21 = "Selected", 1, 'Form responses 1'!G21 = "Not Selected", 0, 0, TRUE)</f>
        <v>0</v>
      </c>
      <c r="H21" cm="1">
        <f t="array" ref="H21">_xlfn.IFS('Form responses 1'!H21 = "Selected", 1, 'Form responses 1'!H21 = "Not Selected", 0, 0, TRUE)</f>
        <v>0</v>
      </c>
      <c r="I21" cm="1">
        <f t="array" ref="I21">_xlfn.IFS('Form responses 1'!I21 = "Selected", 1, 'Form responses 1'!I21 = "Not Selected", 0, 0, TRUE)</f>
        <v>0</v>
      </c>
      <c r="J21" cm="1">
        <f t="array" ref="J21">_xlfn.IFS('Form responses 1'!J21 = "Selected", 1, 'Form responses 1'!J21 = "Not Selected", 0, 0, TRUE)</f>
        <v>1</v>
      </c>
      <c r="K21" cm="1">
        <f t="array" ref="K21">_xlfn.IFS('Form responses 1'!K21 = "Selected", 1, 'Form responses 1'!K21 = "Not Selected", 0, 0, TRUE)</f>
        <v>0</v>
      </c>
      <c r="L21" cm="1">
        <f t="array" ref="L21">_xlfn.IFS('Form responses 1'!L21 = "Selected", 1, 'Form responses 1'!L21 = "Not Selected", 0, 0, TRUE)</f>
        <v>0</v>
      </c>
      <c r="M21" cm="1">
        <f t="array" ref="M21">_xlfn.IFS('Form responses 1'!M21 = "Selected", 1, 'Form responses 1'!M21 = "Not Selected", 0, 0, TRUE)</f>
        <v>0</v>
      </c>
      <c r="N21" cm="1">
        <f t="array" ref="N21">_xlfn.IFS('Form responses 1'!N21 = "Selected", 1, 'Form responses 1'!N21 = "Not Selected", 0, 0, TRUE)</f>
        <v>1</v>
      </c>
      <c r="O21" cm="1">
        <f t="array" ref="O21">_xlfn.IFS('Form responses 1'!O21 = "Yes", 1, 'Form responses 1'!O21 = "No", 2, 0, TRUE)</f>
        <v>2</v>
      </c>
      <c r="P21" cm="1">
        <f t="array" ref="P21">_xlfn.IFS('Form responses 1'!P21 = "Yes", 1, 'Form responses 1'!P21 = "No", 2, 'Form responses 1'!P21 = "Not sure", 3, 0, TRUE)</f>
        <v>2</v>
      </c>
      <c r="Q21" cm="1">
        <f t="array" ref="Q21">_xlfn.IFS('Form responses 1'!Q21 = "Yes", 1, 'Form responses 1'!Q21 = "No", 2, 0, TRUE)</f>
        <v>2</v>
      </c>
      <c r="R21" cm="1">
        <f t="array" ref="R21">_xlfn.IFS('Form responses 1'!R21 = "Yes", 1, 'Form responses 1'!R21 = "No", 2, 0, TRUE)</f>
        <v>2</v>
      </c>
      <c r="S21" cm="1">
        <f t="array" ref="S21">_xlfn.IFS('Form responses 1'!S21 = "Severely embarrassed", 1, 'Form responses 1'!S21 = "Somewhat uncomfortable", 2, 'Form responses 1'!S21= "Not affected", 3, 'Form responses 1'!S21= "Indifferent", 4, 0, TRUE)</f>
        <v>3</v>
      </c>
      <c r="T21" cm="1">
        <f t="array" ref="T21">_xlfn.IFS('Form responses 1'!T21 = "Yes", 1, 'Form responses 1'!T21 = "No", 2, 'Form responses 1'!T21 = "Not sure", 3, 0, TRUE)</f>
        <v>2</v>
      </c>
      <c r="U21" cm="1">
        <f t="array" ref="U21">_xlfn.IFS('Form responses 1'!U21 = "Strongly agree", 1, 'Form responses 1'!U21 = "Agree", 2, 'Form responses 1'!U21 = "Neutral", 3, 'Form responses 1'!U21 = "Disagree", 4, 0, TRUE)</f>
        <v>1</v>
      </c>
      <c r="V21" cm="1">
        <f t="array" ref="V21">_xlfn.IFS('Form responses 1'!V21 = "Selected", 1, 'Form responses 1'!V21 = "Not Selected", 0, 0, TRUE)</f>
        <v>1</v>
      </c>
      <c r="W21" cm="1">
        <f t="array" ref="W21">_xlfn.IFS('Form responses 1'!W21 = "Selected", 1, 'Form responses 1'!W21 = "Not Selected", 0, 0, TRUE)</f>
        <v>0</v>
      </c>
      <c r="X21" cm="1">
        <f t="array" ref="X21">_xlfn.IFS('Form responses 1'!X21 = "Selected", 1, 'Form responses 1'!X21 = "Not Selected", 0, 0, TRUE)</f>
        <v>1</v>
      </c>
      <c r="Y21" cm="1">
        <f t="array" ref="Y21">_xlfn.IFS('Form responses 1'!Y21 = "Selected", 1, 'Form responses 1'!Y21 = "Not Selected", 0, 0, TRUE)</f>
        <v>0</v>
      </c>
      <c r="Z21" cm="1">
        <f t="array" ref="Z21">_xlfn.IFS('Form responses 1'!Z21 = "Selected", 1, 'Form responses 1'!Z21 = "Not Selected", 0, 0, TRUE)</f>
        <v>1</v>
      </c>
      <c r="AA21" cm="1">
        <f t="array" ref="AA21">_xlfn.IFS('Form responses 1'!AA21 = "Very effective", 1, 'Form responses 1'!AA21 = "Somewhat effective", 2, 'Form responses 1'!AA21 = "Not effective", 3, 'Form responses 1'!AA21 = "Made it worse", 4, 0, TRUE)</f>
        <v>1</v>
      </c>
      <c r="AB21" cm="1">
        <f t="array" ref="AB21">_xlfn.IFS('Form responses 1'!AB21 = "Yes", 1, 'Form responses 1'!AB21 = "No", 2, 'Form responses 1'!AB21 = "Not sure", 3, 0, TRUE)</f>
        <v>1</v>
      </c>
      <c r="AC21" cm="1">
        <f t="array" ref="AC21">_xlfn.IFS('Form responses 1'!AC21 = "Yes", 1, 'Form responses 1'!AC21 = "No", 2, 0, TRUE)</f>
        <v>1</v>
      </c>
    </row>
    <row r="22" spans="1:29" x14ac:dyDescent="0.2">
      <c r="A22" cm="1">
        <f t="array" ref="A22">_xlfn.IFS('Form responses 1'!A22 = "18-24 years", 1, 'Form responses 1'!A22 = "25-34 years", 2, 'Form responses 1'!A22= "35-44 years", 3, 'Form responses 1'!A22= "45-54 years", 4, 'Form responses 1'!A22= "55-64 years", 5, 'Form responses 1'!A22= "65 &amp; above", 6, 0, TRUE)</f>
        <v>1</v>
      </c>
      <c r="B22" cm="1">
        <f t="array" ref="B22">_xlfn.IFS('Form responses 1'!B22 = "Female", 1, 'Form responses 1'!B22 = "Male", 2, 0, TRUE)</f>
        <v>1</v>
      </c>
      <c r="C22" t="s">
        <v>52</v>
      </c>
      <c r="D22" cm="1">
        <f t="array" ref="D22">_xlfn.IFS('Form responses 1'!D22 = "Once", 1, 'Form responses 1'!D22 = "Twice", 2, 'Form responses 1'!D22= "More than twice", 3, 'Form responses 1'!D22= "Occasionally", 4, 0, TRUE)</f>
        <v>2</v>
      </c>
      <c r="E22" cm="1">
        <f t="array" ref="E22">_xlfn.IFS('Form responses 1'!E22 = "Selected", 1, 'Form responses 1'!E22 = "Not Selected", 0, 0, TRUE)</f>
        <v>1</v>
      </c>
      <c r="F22" cm="1">
        <f t="array" ref="F22">_xlfn.IFS('Form responses 1'!F22 = "Selected", 1, 'Form responses 1'!F22 = "Not Selected", 0, 0, TRUE)</f>
        <v>0</v>
      </c>
      <c r="G22" cm="1">
        <f t="array" ref="G22">_xlfn.IFS('Form responses 1'!G22 = "Selected", 1, 'Form responses 1'!G22 = "Not Selected", 0, 0, TRUE)</f>
        <v>0</v>
      </c>
      <c r="H22" cm="1">
        <f t="array" ref="H22">_xlfn.IFS('Form responses 1'!H22 = "Selected", 1, 'Form responses 1'!H22 = "Not Selected", 0, 0, TRUE)</f>
        <v>0</v>
      </c>
      <c r="I22" cm="1">
        <f t="array" ref="I22">_xlfn.IFS('Form responses 1'!I22 = "Selected", 1, 'Form responses 1'!I22 = "Not Selected", 0, 0, TRUE)</f>
        <v>0</v>
      </c>
      <c r="J22" cm="1">
        <f t="array" ref="J22">_xlfn.IFS('Form responses 1'!J22 = "Selected", 1, 'Form responses 1'!J22 = "Not Selected", 0, 0, TRUE)</f>
        <v>0</v>
      </c>
      <c r="K22" cm="1">
        <f t="array" ref="K22">_xlfn.IFS('Form responses 1'!K22 = "Selected", 1, 'Form responses 1'!K22 = "Not Selected", 0, 0, TRUE)</f>
        <v>1</v>
      </c>
      <c r="L22" cm="1">
        <f t="array" ref="L22">_xlfn.IFS('Form responses 1'!L22 = "Selected", 1, 'Form responses 1'!L22 = "Not Selected", 0, 0, TRUE)</f>
        <v>0</v>
      </c>
      <c r="M22" cm="1">
        <f t="array" ref="M22">_xlfn.IFS('Form responses 1'!M22 = "Selected", 1, 'Form responses 1'!M22 = "Not Selected", 0, 0, TRUE)</f>
        <v>0</v>
      </c>
      <c r="N22" cm="1">
        <f t="array" ref="N22">_xlfn.IFS('Form responses 1'!N22 = "Selected", 1, 'Form responses 1'!N22 = "Not Selected", 0, 0, TRUE)</f>
        <v>0</v>
      </c>
      <c r="O22" cm="1">
        <f t="array" ref="O22">_xlfn.IFS('Form responses 1'!O22 = "Yes", 1, 'Form responses 1'!O22 = "No", 2, 0, TRUE)</f>
        <v>1</v>
      </c>
      <c r="P22" cm="1">
        <f t="array" ref="P22">_xlfn.IFS('Form responses 1'!P22 = "Yes", 1, 'Form responses 1'!P22 = "No", 2, 'Form responses 1'!P22 = "Not sure", 3, 0, TRUE)</f>
        <v>2</v>
      </c>
      <c r="Q22" cm="1">
        <f t="array" ref="Q22">_xlfn.IFS('Form responses 1'!Q22 = "Yes", 1, 'Form responses 1'!Q22 = "No", 2, 0, TRUE)</f>
        <v>1</v>
      </c>
      <c r="R22" cm="1">
        <f t="array" ref="R22">_xlfn.IFS('Form responses 1'!R22 = "Yes", 1, 'Form responses 1'!R22 = "No", 2, 0, TRUE)</f>
        <v>1</v>
      </c>
      <c r="S22" cm="1">
        <f t="array" ref="S22">_xlfn.IFS('Form responses 1'!S22 = "Severely embarrassed", 1, 'Form responses 1'!S22 = "Somewhat uncomfortable", 2, 'Form responses 1'!S22= "Not affected", 3, 'Form responses 1'!S22= "Indifferent", 4, 0, TRUE)</f>
        <v>3</v>
      </c>
      <c r="T22" cm="1">
        <f t="array" ref="T22">_xlfn.IFS('Form responses 1'!T22 = "Yes", 1, 'Form responses 1'!T22 = "No", 2, 'Form responses 1'!T22 = "Not sure", 3, 0, TRUE)</f>
        <v>3</v>
      </c>
      <c r="U22" cm="1">
        <f t="array" ref="U22">_xlfn.IFS('Form responses 1'!U22 = "Strongly agree", 1, 'Form responses 1'!U22 = "Agree", 2, 'Form responses 1'!U22 = "Neutral", 3, 'Form responses 1'!U22 = "Disagree", 4, 0, TRUE)</f>
        <v>3</v>
      </c>
      <c r="V22" cm="1">
        <f t="array" ref="V22">_xlfn.IFS('Form responses 1'!V22 = "Selected", 1, 'Form responses 1'!V22 = "Not Selected", 0, 0, TRUE)</f>
        <v>1</v>
      </c>
      <c r="W22" cm="1">
        <f t="array" ref="W22">_xlfn.IFS('Form responses 1'!W22 = "Selected", 1, 'Form responses 1'!W22 = "Not Selected", 0, 0, TRUE)</f>
        <v>0</v>
      </c>
      <c r="X22" cm="1">
        <f t="array" ref="X22">_xlfn.IFS('Form responses 1'!X22 = "Selected", 1, 'Form responses 1'!X22 = "Not Selected", 0, 0, TRUE)</f>
        <v>0</v>
      </c>
      <c r="Y22" cm="1">
        <f t="array" ref="Y22">_xlfn.IFS('Form responses 1'!Y22 = "Selected", 1, 'Form responses 1'!Y22 = "Not Selected", 0, 0, TRUE)</f>
        <v>0</v>
      </c>
      <c r="Z22" cm="1">
        <f t="array" ref="Z22">_xlfn.IFS('Form responses 1'!Z22 = "Selected", 1, 'Form responses 1'!Z22 = "Not Selected", 0, 0, TRUE)</f>
        <v>0</v>
      </c>
      <c r="AA22" cm="1">
        <f t="array" ref="AA22">_xlfn.IFS('Form responses 1'!AA22 = "Very effective", 1, 'Form responses 1'!AA22 = "Somewhat effective", 2, 'Form responses 1'!AA22 = "Not effective", 3, 'Form responses 1'!AA22 = "Made it worse", 4, 0, TRUE)</f>
        <v>2</v>
      </c>
      <c r="AB22" cm="1">
        <f t="array" ref="AB22">_xlfn.IFS('Form responses 1'!AB22 = "Yes", 1, 'Form responses 1'!AB22 = "No", 2, 'Form responses 1'!AB22 = "Not sure", 3, 0, TRUE)</f>
        <v>1</v>
      </c>
      <c r="AC22" cm="1">
        <f t="array" ref="AC22">_xlfn.IFS('Form responses 1'!AC22 = "Yes", 1, 'Form responses 1'!AC22 = "No", 2, 0, TRUE)</f>
        <v>1</v>
      </c>
    </row>
    <row r="23" spans="1:29" x14ac:dyDescent="0.2">
      <c r="A23" cm="1">
        <f t="array" ref="A23">_xlfn.IFS('Form responses 1'!A23 = "18-24 years", 1, 'Form responses 1'!A23 = "25-34 years", 2, 'Form responses 1'!A23= "35-44 years", 3, 'Form responses 1'!A23= "45-54 years", 4, 'Form responses 1'!A23= "55-64 years", 5, 'Form responses 1'!A23= "65 &amp; above", 6, 0, TRUE)</f>
        <v>3</v>
      </c>
      <c r="B23" cm="1">
        <f t="array" ref="B23">_xlfn.IFS('Form responses 1'!B23 = "Female", 1, 'Form responses 1'!B23 = "Male", 2, 0, TRUE)</f>
        <v>1</v>
      </c>
      <c r="C23" t="s">
        <v>53</v>
      </c>
      <c r="D23" cm="1">
        <f t="array" ref="D23">_xlfn.IFS('Form responses 1'!D23 = "Once", 1, 'Form responses 1'!D23 = "Twice", 2, 'Form responses 1'!D23= "More than twice", 3, 'Form responses 1'!D23= "Occasionally", 4, 0, TRUE)</f>
        <v>2</v>
      </c>
      <c r="E23" cm="1">
        <f t="array" ref="E23">_xlfn.IFS('Form responses 1'!E23 = "Selected", 1, 'Form responses 1'!E23 = "Not Selected", 0, 0, TRUE)</f>
        <v>0</v>
      </c>
      <c r="F23" cm="1">
        <f t="array" ref="F23">_xlfn.IFS('Form responses 1'!F23 = "Selected", 1, 'Form responses 1'!F23 = "Not Selected", 0, 0, TRUE)</f>
        <v>1</v>
      </c>
      <c r="G23" cm="1">
        <f t="array" ref="G23">_xlfn.IFS('Form responses 1'!G23 = "Selected", 1, 'Form responses 1'!G23 = "Not Selected", 0, 0, TRUE)</f>
        <v>0</v>
      </c>
      <c r="H23" cm="1">
        <f t="array" ref="H23">_xlfn.IFS('Form responses 1'!H23 = "Selected", 1, 'Form responses 1'!H23 = "Not Selected", 0, 0, TRUE)</f>
        <v>0</v>
      </c>
      <c r="I23" cm="1">
        <f t="array" ref="I23">_xlfn.IFS('Form responses 1'!I23 = "Selected", 1, 'Form responses 1'!I23 = "Not Selected", 0, 0, TRUE)</f>
        <v>0</v>
      </c>
      <c r="J23" cm="1">
        <f t="array" ref="J23">_xlfn.IFS('Form responses 1'!J23 = "Selected", 1, 'Form responses 1'!J23 = "Not Selected", 0, 0, TRUE)</f>
        <v>1</v>
      </c>
      <c r="K23" cm="1">
        <f t="array" ref="K23">_xlfn.IFS('Form responses 1'!K23 = "Selected", 1, 'Form responses 1'!K23 = "Not Selected", 0, 0, TRUE)</f>
        <v>1</v>
      </c>
      <c r="L23" cm="1">
        <f t="array" ref="L23">_xlfn.IFS('Form responses 1'!L23 = "Selected", 1, 'Form responses 1'!L23 = "Not Selected", 0, 0, TRUE)</f>
        <v>1</v>
      </c>
      <c r="M23" cm="1">
        <f t="array" ref="M23">_xlfn.IFS('Form responses 1'!M23 = "Selected", 1, 'Form responses 1'!M23 = "Not Selected", 0, 0, TRUE)</f>
        <v>1</v>
      </c>
      <c r="N23" cm="1">
        <f t="array" ref="N23">_xlfn.IFS('Form responses 1'!N23 = "Selected", 1, 'Form responses 1'!N23 = "Not Selected", 0, 0, TRUE)</f>
        <v>1</v>
      </c>
      <c r="O23" cm="1">
        <f t="array" ref="O23">_xlfn.IFS('Form responses 1'!O23 = "Yes", 1, 'Form responses 1'!O23 = "No", 2, 0, TRUE)</f>
        <v>1</v>
      </c>
      <c r="P23" cm="1">
        <f t="array" ref="P23">_xlfn.IFS('Form responses 1'!P23 = "Yes", 1, 'Form responses 1'!P23 = "No", 2, 'Form responses 1'!P23 = "Not sure", 3, 0, TRUE)</f>
        <v>2</v>
      </c>
      <c r="Q23" cm="1">
        <f t="array" ref="Q23">_xlfn.IFS('Form responses 1'!Q23 = "Yes", 1, 'Form responses 1'!Q23 = "No", 2, 0, TRUE)</f>
        <v>2</v>
      </c>
      <c r="R23" cm="1">
        <f t="array" ref="R23">_xlfn.IFS('Form responses 1'!R23 = "Yes", 1, 'Form responses 1'!R23 = "No", 2, 0, TRUE)</f>
        <v>2</v>
      </c>
      <c r="S23" cm="1">
        <f t="array" ref="S23">_xlfn.IFS('Form responses 1'!S23 = "Severely embarrassed", 1, 'Form responses 1'!S23 = "Somewhat uncomfortable", 2, 'Form responses 1'!S23= "Not affected", 3, 'Form responses 1'!S23= "Indifferent", 4, 0, TRUE)</f>
        <v>3</v>
      </c>
      <c r="T23" cm="1">
        <f t="array" ref="T23">_xlfn.IFS('Form responses 1'!T23 = "Yes", 1, 'Form responses 1'!T23 = "No", 2, 'Form responses 1'!T23 = "Not sure", 3, 0, TRUE)</f>
        <v>2</v>
      </c>
      <c r="U23" cm="1">
        <f t="array" ref="U23">_xlfn.IFS('Form responses 1'!U23 = "Strongly agree", 1, 'Form responses 1'!U23 = "Agree", 2, 'Form responses 1'!U23 = "Neutral", 3, 'Form responses 1'!U23 = "Disagree", 4, 0, TRUE)</f>
        <v>4</v>
      </c>
      <c r="V23" cm="1">
        <f t="array" ref="V23">_xlfn.IFS('Form responses 1'!V23 = "Selected", 1, 'Form responses 1'!V23 = "Not Selected", 0, 0, TRUE)</f>
        <v>1</v>
      </c>
      <c r="W23" cm="1">
        <f t="array" ref="W23">_xlfn.IFS('Form responses 1'!W23 = "Selected", 1, 'Form responses 1'!W23 = "Not Selected", 0, 0, TRUE)</f>
        <v>1</v>
      </c>
      <c r="X23" cm="1">
        <f t="array" ref="X23">_xlfn.IFS('Form responses 1'!X23 = "Selected", 1, 'Form responses 1'!X23 = "Not Selected", 0, 0, TRUE)</f>
        <v>0</v>
      </c>
      <c r="Y23" cm="1">
        <f t="array" ref="Y23">_xlfn.IFS('Form responses 1'!Y23 = "Selected", 1, 'Form responses 1'!Y23 = "Not Selected", 0, 0, TRUE)</f>
        <v>0</v>
      </c>
      <c r="Z23" cm="1">
        <f t="array" ref="Z23">_xlfn.IFS('Form responses 1'!Z23 = "Selected", 1, 'Form responses 1'!Z23 = "Not Selected", 0, 0, TRUE)</f>
        <v>1</v>
      </c>
      <c r="AA23" cm="1">
        <f t="array" ref="AA23">_xlfn.IFS('Form responses 1'!AA23 = "Very effective", 1, 'Form responses 1'!AA23 = "Somewhat effective", 2, 'Form responses 1'!AA23 = "Not effective", 3, 'Form responses 1'!AA23 = "Made it worse", 4, 0, TRUE)</f>
        <v>3</v>
      </c>
      <c r="AB23" cm="1">
        <f t="array" ref="AB23">_xlfn.IFS('Form responses 1'!AB23 = "Yes", 1, 'Form responses 1'!AB23 = "No", 2, 'Form responses 1'!AB23 = "Not sure", 3, 0, TRUE)</f>
        <v>1</v>
      </c>
      <c r="AC23" cm="1">
        <f t="array" ref="AC23">_xlfn.IFS('Form responses 1'!AC23 = "Yes", 1, 'Form responses 1'!AC23 = "No", 2, 0, TRUE)</f>
        <v>1</v>
      </c>
    </row>
    <row r="24" spans="1:29" x14ac:dyDescent="0.2">
      <c r="A24" cm="1">
        <f t="array" ref="A24">_xlfn.IFS('Form responses 1'!A24 = "18-24 years", 1, 'Form responses 1'!A24 = "25-34 years", 2, 'Form responses 1'!A24= "35-44 years", 3, 'Form responses 1'!A24= "45-54 years", 4, 'Form responses 1'!A24= "55-64 years", 5, 'Form responses 1'!A24= "65 &amp; above", 6, 0, TRUE)</f>
        <v>1</v>
      </c>
      <c r="B24" cm="1">
        <f t="array" ref="B24">_xlfn.IFS('Form responses 1'!B24 = "Female", 1, 'Form responses 1'!B24 = "Male", 2, 0, TRUE)</f>
        <v>1</v>
      </c>
      <c r="C24" t="s">
        <v>56</v>
      </c>
      <c r="D24" cm="1">
        <f t="array" ref="D24">_xlfn.IFS('Form responses 1'!D24 = "Once", 1, 'Form responses 1'!D24 = "Twice", 2, 'Form responses 1'!D24= "More than twice", 3, 'Form responses 1'!D24= "Occasionally", 4, 0, TRUE)</f>
        <v>3</v>
      </c>
      <c r="E24" cm="1">
        <f t="array" ref="E24">_xlfn.IFS('Form responses 1'!E24 = "Selected", 1, 'Form responses 1'!E24 = "Not Selected", 0, 0, TRUE)</f>
        <v>0</v>
      </c>
      <c r="F24" cm="1">
        <f t="array" ref="F24">_xlfn.IFS('Form responses 1'!F24 = "Selected", 1, 'Form responses 1'!F24 = "Not Selected", 0, 0, TRUE)</f>
        <v>1</v>
      </c>
      <c r="G24" cm="1">
        <f t="array" ref="G24">_xlfn.IFS('Form responses 1'!G24 = "Selected", 1, 'Form responses 1'!G24 = "Not Selected", 0, 0, TRUE)</f>
        <v>0</v>
      </c>
      <c r="H24" cm="1">
        <f t="array" ref="H24">_xlfn.IFS('Form responses 1'!H24 = "Selected", 1, 'Form responses 1'!H24 = "Not Selected", 0, 0, TRUE)</f>
        <v>0</v>
      </c>
      <c r="I24" cm="1">
        <f t="array" ref="I24">_xlfn.IFS('Form responses 1'!I24 = "Selected", 1, 'Form responses 1'!I24 = "Not Selected", 0, 0, TRUE)</f>
        <v>0</v>
      </c>
      <c r="J24" cm="1">
        <f t="array" ref="J24">_xlfn.IFS('Form responses 1'!J24 = "Selected", 1, 'Form responses 1'!J24 = "Not Selected", 0, 0, TRUE)</f>
        <v>0</v>
      </c>
      <c r="K24" cm="1">
        <f t="array" ref="K24">_xlfn.IFS('Form responses 1'!K24 = "Selected", 1, 'Form responses 1'!K24 = "Not Selected", 0, 0, TRUE)</f>
        <v>0</v>
      </c>
      <c r="L24" cm="1">
        <f t="array" ref="L24">_xlfn.IFS('Form responses 1'!L24 = "Selected", 1, 'Form responses 1'!L24 = "Not Selected", 0, 0, TRUE)</f>
        <v>0</v>
      </c>
      <c r="M24" cm="1">
        <f t="array" ref="M24">_xlfn.IFS('Form responses 1'!M24 = "Selected", 1, 'Form responses 1'!M24 = "Not Selected", 0, 0, TRUE)</f>
        <v>0</v>
      </c>
      <c r="N24" cm="1">
        <f t="array" ref="N24">_xlfn.IFS('Form responses 1'!N24 = "Selected", 1, 'Form responses 1'!N24 = "Not Selected", 0, 0, TRUE)</f>
        <v>1</v>
      </c>
      <c r="O24" cm="1">
        <f t="array" ref="O24">_xlfn.IFS('Form responses 1'!O24 = "Yes", 1, 'Form responses 1'!O24 = "No", 2, 0, TRUE)</f>
        <v>2</v>
      </c>
      <c r="P24" cm="1">
        <f t="array" ref="P24">_xlfn.IFS('Form responses 1'!P24 = "Yes", 1, 'Form responses 1'!P24 = "No", 2, 'Form responses 1'!P24 = "Not sure", 3, 0, TRUE)</f>
        <v>2</v>
      </c>
      <c r="Q24" cm="1">
        <f t="array" ref="Q24">_xlfn.IFS('Form responses 1'!Q24 = "Yes", 1, 'Form responses 1'!Q24 = "No", 2, 0, TRUE)</f>
        <v>2</v>
      </c>
      <c r="R24" cm="1">
        <f t="array" ref="R24">_xlfn.IFS('Form responses 1'!R24 = "Yes", 1, 'Form responses 1'!R24 = "No", 2, 0, TRUE)</f>
        <v>2</v>
      </c>
      <c r="S24" cm="1">
        <f t="array" ref="S24">_xlfn.IFS('Form responses 1'!S24 = "Severely embarrassed", 1, 'Form responses 1'!S24 = "Somewhat uncomfortable", 2, 'Form responses 1'!S24= "Not affected", 3, 'Form responses 1'!S24= "Indifferent", 4, 0, TRUE)</f>
        <v>3</v>
      </c>
      <c r="T24" cm="1">
        <f t="array" ref="T24">_xlfn.IFS('Form responses 1'!T24 = "Yes", 1, 'Form responses 1'!T24 = "No", 2, 'Form responses 1'!T24 = "Not sure", 3, 0, TRUE)</f>
        <v>2</v>
      </c>
      <c r="U24" cm="1">
        <f t="array" ref="U24">_xlfn.IFS('Form responses 1'!U24 = "Strongly agree", 1, 'Form responses 1'!U24 = "Agree", 2, 'Form responses 1'!U24 = "Neutral", 3, 'Form responses 1'!U24 = "Disagree", 4, 0, TRUE)</f>
        <v>2</v>
      </c>
      <c r="V24" cm="1">
        <f t="array" ref="V24">_xlfn.IFS('Form responses 1'!V24 = "Selected", 1, 'Form responses 1'!V24 = "Not Selected", 0, 0, TRUE)</f>
        <v>1</v>
      </c>
      <c r="W24" cm="1">
        <f t="array" ref="W24">_xlfn.IFS('Form responses 1'!W24 = "Selected", 1, 'Form responses 1'!W24 = "Not Selected", 0, 0, TRUE)</f>
        <v>0</v>
      </c>
      <c r="X24" cm="1">
        <f t="array" ref="X24">_xlfn.IFS('Form responses 1'!X24 = "Selected", 1, 'Form responses 1'!X24 = "Not Selected", 0, 0, TRUE)</f>
        <v>0</v>
      </c>
      <c r="Y24" cm="1">
        <f t="array" ref="Y24">_xlfn.IFS('Form responses 1'!Y24 = "Selected", 1, 'Form responses 1'!Y24 = "Not Selected", 0, 0, TRUE)</f>
        <v>0</v>
      </c>
      <c r="Z24" cm="1">
        <f t="array" ref="Z24">_xlfn.IFS('Form responses 1'!Z24 = "Selected", 1, 'Form responses 1'!Z24 = "Not Selected", 0, 0, TRUE)</f>
        <v>0</v>
      </c>
      <c r="AA24" cm="1">
        <f t="array" ref="AA24">_xlfn.IFS('Form responses 1'!AA24 = "Very effective", 1, 'Form responses 1'!AA24 = "Somewhat effective", 2, 'Form responses 1'!AA24 = "Not effective", 3, 'Form responses 1'!AA24 = "Made it worse", 4, 0, TRUE)</f>
        <v>1</v>
      </c>
      <c r="AB24" cm="1">
        <f t="array" ref="AB24">_xlfn.IFS('Form responses 1'!AB24 = "Yes", 1, 'Form responses 1'!AB24 = "No", 2, 'Form responses 1'!AB24 = "Not sure", 3, 0, TRUE)</f>
        <v>1</v>
      </c>
      <c r="AC24" cm="1">
        <f t="array" ref="AC24">_xlfn.IFS('Form responses 1'!AC24 = "Yes", 1, 'Form responses 1'!AC24 = "No", 2, 0, TRUE)</f>
        <v>1</v>
      </c>
    </row>
    <row r="25" spans="1:29" x14ac:dyDescent="0.2">
      <c r="A25" cm="1">
        <f t="array" ref="A25">_xlfn.IFS('Form responses 1'!A25 = "18-24 years", 1, 'Form responses 1'!A25 = "25-34 years", 2, 'Form responses 1'!A25= "35-44 years", 3, 'Form responses 1'!A25= "45-54 years", 4, 'Form responses 1'!A25= "55-64 years", 5, 'Form responses 1'!A25= "65 &amp; above", 6, 0, TRUE)</f>
        <v>2</v>
      </c>
      <c r="B25" cm="1">
        <f t="array" ref="B25">_xlfn.IFS('Form responses 1'!B25 = "Female", 1, 'Form responses 1'!B25 = "Male", 2, 0, TRUE)</f>
        <v>2</v>
      </c>
      <c r="C25" t="s">
        <v>57</v>
      </c>
      <c r="D25" cm="1">
        <f t="array" ref="D25">_xlfn.IFS('Form responses 1'!D25 = "Once", 1, 'Form responses 1'!D25 = "Twice", 2, 'Form responses 1'!D25= "More than twice", 3, 'Form responses 1'!D25= "Occasionally", 4, 0, TRUE)</f>
        <v>2</v>
      </c>
      <c r="E25" cm="1">
        <f t="array" ref="E25">_xlfn.IFS('Form responses 1'!E25 = "Selected", 1, 'Form responses 1'!E25 = "Not Selected", 0, 0, TRUE)</f>
        <v>0</v>
      </c>
      <c r="F25" cm="1">
        <f t="array" ref="F25">_xlfn.IFS('Form responses 1'!F25 = "Selected", 1, 'Form responses 1'!F25 = "Not Selected", 0, 0, TRUE)</f>
        <v>1</v>
      </c>
      <c r="G25" cm="1">
        <f t="array" ref="G25">_xlfn.IFS('Form responses 1'!G25 = "Selected", 1, 'Form responses 1'!G25 = "Not Selected", 0, 0, TRUE)</f>
        <v>0</v>
      </c>
      <c r="H25" cm="1">
        <f t="array" ref="H25">_xlfn.IFS('Form responses 1'!H25 = "Selected", 1, 'Form responses 1'!H25 = "Not Selected", 0, 0, TRUE)</f>
        <v>0</v>
      </c>
      <c r="I25" cm="1">
        <f t="array" ref="I25">_xlfn.IFS('Form responses 1'!I25 = "Selected", 1, 'Form responses 1'!I25 = "Not Selected", 0, 0, TRUE)</f>
        <v>0</v>
      </c>
      <c r="J25" cm="1">
        <f t="array" ref="J25">_xlfn.IFS('Form responses 1'!J25 = "Selected", 1, 'Form responses 1'!J25 = "Not Selected", 0, 0, TRUE)</f>
        <v>0</v>
      </c>
      <c r="K25" cm="1">
        <f t="array" ref="K25">_xlfn.IFS('Form responses 1'!K25 = "Selected", 1, 'Form responses 1'!K25 = "Not Selected", 0, 0, TRUE)</f>
        <v>0</v>
      </c>
      <c r="L25" cm="1">
        <f t="array" ref="L25">_xlfn.IFS('Form responses 1'!L25 = "Selected", 1, 'Form responses 1'!L25 = "Not Selected", 0, 0, TRUE)</f>
        <v>0</v>
      </c>
      <c r="M25" cm="1">
        <f t="array" ref="M25">_xlfn.IFS('Form responses 1'!M25 = "Selected", 1, 'Form responses 1'!M25 = "Not Selected", 0, 0, TRUE)</f>
        <v>1</v>
      </c>
      <c r="N25" cm="1">
        <f t="array" ref="N25">_xlfn.IFS('Form responses 1'!N25 = "Selected", 1, 'Form responses 1'!N25 = "Not Selected", 0, 0, TRUE)</f>
        <v>1</v>
      </c>
      <c r="O25" cm="1">
        <f t="array" ref="O25">_xlfn.IFS('Form responses 1'!O25 = "Yes", 1, 'Form responses 1'!O25 = "No", 2, 0, TRUE)</f>
        <v>1</v>
      </c>
      <c r="P25" cm="1">
        <f t="array" ref="P25">_xlfn.IFS('Form responses 1'!P25 = "Yes", 1, 'Form responses 1'!P25 = "No", 2, 'Form responses 1'!P25 = "Not sure", 3, 0, TRUE)</f>
        <v>2</v>
      </c>
      <c r="Q25" cm="1">
        <f t="array" ref="Q25">_xlfn.IFS('Form responses 1'!Q25 = "Yes", 1, 'Form responses 1'!Q25 = "No", 2, 0, TRUE)</f>
        <v>2</v>
      </c>
      <c r="R25" cm="1">
        <f t="array" ref="R25">_xlfn.IFS('Form responses 1'!R25 = "Yes", 1, 'Form responses 1'!R25 = "No", 2, 0, TRUE)</f>
        <v>1</v>
      </c>
      <c r="S25" cm="1">
        <f t="array" ref="S25">_xlfn.IFS('Form responses 1'!S25 = "Severely embarrassed", 1, 'Form responses 1'!S25 = "Somewhat uncomfortable", 2, 'Form responses 1'!S25= "Not affected", 3, 'Form responses 1'!S25= "Indifferent", 4, 0, TRUE)</f>
        <v>1</v>
      </c>
      <c r="T25" cm="1">
        <f t="array" ref="T25">_xlfn.IFS('Form responses 1'!T25 = "Yes", 1, 'Form responses 1'!T25 = "No", 2, 'Form responses 1'!T25 = "Not sure", 3, 0, TRUE)</f>
        <v>2</v>
      </c>
      <c r="U25" cm="1">
        <f t="array" ref="U25">_xlfn.IFS('Form responses 1'!U25 = "Strongly agree", 1, 'Form responses 1'!U25 = "Agree", 2, 'Form responses 1'!U25 = "Neutral", 3, 'Form responses 1'!U25 = "Disagree", 4, 0, TRUE)</f>
        <v>2</v>
      </c>
      <c r="V25" cm="1">
        <f t="array" ref="V25">_xlfn.IFS('Form responses 1'!V25 = "Selected", 1, 'Form responses 1'!V25 = "Not Selected", 0, 0, TRUE)</f>
        <v>1</v>
      </c>
      <c r="W25" cm="1">
        <f t="array" ref="W25">_xlfn.IFS('Form responses 1'!W25 = "Selected", 1, 'Form responses 1'!W25 = "Not Selected", 0, 0, TRUE)</f>
        <v>0</v>
      </c>
      <c r="X25" cm="1">
        <f t="array" ref="X25">_xlfn.IFS('Form responses 1'!X25 = "Selected", 1, 'Form responses 1'!X25 = "Not Selected", 0, 0, TRUE)</f>
        <v>0</v>
      </c>
      <c r="Y25" cm="1">
        <f t="array" ref="Y25">_xlfn.IFS('Form responses 1'!Y25 = "Selected", 1, 'Form responses 1'!Y25 = "Not Selected", 0, 0, TRUE)</f>
        <v>0</v>
      </c>
      <c r="Z25" cm="1">
        <f t="array" ref="Z25">_xlfn.IFS('Form responses 1'!Z25 = "Selected", 1, 'Form responses 1'!Z25 = "Not Selected", 0, 0, TRUE)</f>
        <v>1</v>
      </c>
      <c r="AA25" cm="1">
        <f t="array" ref="AA25">_xlfn.IFS('Form responses 1'!AA25 = "Very effective", 1, 'Form responses 1'!AA25 = "Somewhat effective", 2, 'Form responses 1'!AA25 = "Not effective", 3, 'Form responses 1'!AA25 = "Made it worse", 4, 0, TRUE)</f>
        <v>2</v>
      </c>
      <c r="AB25" cm="1">
        <f t="array" ref="AB25">_xlfn.IFS('Form responses 1'!AB25 = "Yes", 1, 'Form responses 1'!AB25 = "No", 2, 'Form responses 1'!AB25 = "Not sure", 3, 0, TRUE)</f>
        <v>1</v>
      </c>
      <c r="AC25" cm="1">
        <f t="array" ref="AC25">_xlfn.IFS('Form responses 1'!AC25 = "Yes", 1, 'Form responses 1'!AC25 = "No", 2, 0, TRUE)</f>
        <v>1</v>
      </c>
    </row>
    <row r="26" spans="1:29" x14ac:dyDescent="0.2">
      <c r="A26" cm="1">
        <f t="array" ref="A26">_xlfn.IFS('Form responses 1'!A26 = "18-24 years", 1, 'Form responses 1'!A26 = "25-34 years", 2, 'Form responses 1'!A26= "35-44 years", 3, 'Form responses 1'!A26= "45-54 years", 4, 'Form responses 1'!A26= "55-64 years", 5, 'Form responses 1'!A26= "65 &amp; above", 6, 0, TRUE)</f>
        <v>3</v>
      </c>
      <c r="B26" cm="1">
        <f t="array" ref="B26">_xlfn.IFS('Form responses 1'!B26 = "Female", 1, 'Form responses 1'!B26 = "Male", 2, 0, TRUE)</f>
        <v>1</v>
      </c>
      <c r="C26" t="s">
        <v>28</v>
      </c>
      <c r="D26" cm="1">
        <f t="array" ref="D26">_xlfn.IFS('Form responses 1'!D26 = "Once", 1, 'Form responses 1'!D26 = "Twice", 2, 'Form responses 1'!D26= "More than twice", 3, 'Form responses 1'!D26= "Occasionally", 4, 0, TRUE)</f>
        <v>3</v>
      </c>
      <c r="E26" cm="1">
        <f t="array" ref="E26">_xlfn.IFS('Form responses 1'!E26 = "Selected", 1, 'Form responses 1'!E26 = "Not Selected", 0, 0, TRUE)</f>
        <v>0</v>
      </c>
      <c r="F26" cm="1">
        <f t="array" ref="F26">_xlfn.IFS('Form responses 1'!F26 = "Selected", 1, 'Form responses 1'!F26 = "Not Selected", 0, 0, TRUE)</f>
        <v>1</v>
      </c>
      <c r="G26" cm="1">
        <f t="array" ref="G26">_xlfn.IFS('Form responses 1'!G26 = "Selected", 1, 'Form responses 1'!G26 = "Not Selected", 0, 0, TRUE)</f>
        <v>0</v>
      </c>
      <c r="H26" cm="1">
        <f t="array" ref="H26">_xlfn.IFS('Form responses 1'!H26 = "Selected", 1, 'Form responses 1'!H26 = "Not Selected", 0, 0, TRUE)</f>
        <v>0</v>
      </c>
      <c r="I26" cm="1">
        <f t="array" ref="I26">_xlfn.IFS('Form responses 1'!I26 = "Selected", 1, 'Form responses 1'!I26 = "Not Selected", 0, 0, TRUE)</f>
        <v>0</v>
      </c>
      <c r="J26" cm="1">
        <f t="array" ref="J26">_xlfn.IFS('Form responses 1'!J26 = "Selected", 1, 'Form responses 1'!J26 = "Not Selected", 0, 0, TRUE)</f>
        <v>1</v>
      </c>
      <c r="K26" cm="1">
        <f t="array" ref="K26">_xlfn.IFS('Form responses 1'!K26 = "Selected", 1, 'Form responses 1'!K26 = "Not Selected", 0, 0, TRUE)</f>
        <v>0</v>
      </c>
      <c r="L26" cm="1">
        <f t="array" ref="L26">_xlfn.IFS('Form responses 1'!L26 = "Selected", 1, 'Form responses 1'!L26 = "Not Selected", 0, 0, TRUE)</f>
        <v>0</v>
      </c>
      <c r="M26" cm="1">
        <f t="array" ref="M26">_xlfn.IFS('Form responses 1'!M26 = "Selected", 1, 'Form responses 1'!M26 = "Not Selected", 0, 0, TRUE)</f>
        <v>0</v>
      </c>
      <c r="N26" cm="1">
        <f t="array" ref="N26">_xlfn.IFS('Form responses 1'!N26 = "Selected", 1, 'Form responses 1'!N26 = "Not Selected", 0, 0, TRUE)</f>
        <v>0</v>
      </c>
      <c r="O26" cm="1">
        <f t="array" ref="O26">_xlfn.IFS('Form responses 1'!O26 = "Yes", 1, 'Form responses 1'!O26 = "No", 2, 0, TRUE)</f>
        <v>2</v>
      </c>
      <c r="P26" cm="1">
        <f t="array" ref="P26">_xlfn.IFS('Form responses 1'!P26 = "Yes", 1, 'Form responses 1'!P26 = "No", 2, 'Form responses 1'!P26 = "Not sure", 3, 0, TRUE)</f>
        <v>1</v>
      </c>
      <c r="Q26" cm="1">
        <f t="array" ref="Q26">_xlfn.IFS('Form responses 1'!Q26 = "Yes", 1, 'Form responses 1'!Q26 = "No", 2, 0, TRUE)</f>
        <v>2</v>
      </c>
      <c r="R26" cm="1">
        <f t="array" ref="R26">_xlfn.IFS('Form responses 1'!R26 = "Yes", 1, 'Form responses 1'!R26 = "No", 2, 0, TRUE)</f>
        <v>2</v>
      </c>
      <c r="S26" cm="1">
        <f t="array" ref="S26">_xlfn.IFS('Form responses 1'!S26 = "Severely embarrassed", 1, 'Form responses 1'!S26 = "Somewhat uncomfortable", 2, 'Form responses 1'!S26= "Not affected", 3, 'Form responses 1'!S26= "Indifferent", 4, 0, TRUE)</f>
        <v>3</v>
      </c>
      <c r="T26" cm="1">
        <f t="array" ref="T26">_xlfn.IFS('Form responses 1'!T26 = "Yes", 1, 'Form responses 1'!T26 = "No", 2, 'Form responses 1'!T26 = "Not sure", 3, 0, TRUE)</f>
        <v>2</v>
      </c>
      <c r="U26" cm="1">
        <f t="array" ref="U26">_xlfn.IFS('Form responses 1'!U26 = "Strongly agree", 1, 'Form responses 1'!U26 = "Agree", 2, 'Form responses 1'!U26 = "Neutral", 3, 'Form responses 1'!U26 = "Disagree", 4, 0, TRUE)</f>
        <v>2</v>
      </c>
      <c r="V26" cm="1">
        <f t="array" ref="V26">_xlfn.IFS('Form responses 1'!V26 = "Selected", 1, 'Form responses 1'!V26 = "Not Selected", 0, 0, TRUE)</f>
        <v>0</v>
      </c>
      <c r="W26" cm="1">
        <f t="array" ref="W26">_xlfn.IFS('Form responses 1'!W26 = "Selected", 1, 'Form responses 1'!W26 = "Not Selected", 0, 0, TRUE)</f>
        <v>0</v>
      </c>
      <c r="X26" cm="1">
        <f t="array" ref="X26">_xlfn.IFS('Form responses 1'!X26 = "Selected", 1, 'Form responses 1'!X26 = "Not Selected", 0, 0, TRUE)</f>
        <v>0</v>
      </c>
      <c r="Y26" cm="1">
        <f t="array" ref="Y26">_xlfn.IFS('Form responses 1'!Y26 = "Selected", 1, 'Form responses 1'!Y26 = "Not Selected", 0, 0, TRUE)</f>
        <v>0</v>
      </c>
      <c r="Z26" cm="1">
        <f t="array" ref="Z26">_xlfn.IFS('Form responses 1'!Z26 = "Selected", 1, 'Form responses 1'!Z26 = "Not Selected", 0, 0, TRUE)</f>
        <v>1</v>
      </c>
      <c r="AA26" cm="1">
        <f t="array" ref="AA26">_xlfn.IFS('Form responses 1'!AA26 = "Very effective", 1, 'Form responses 1'!AA26 = "Somewhat effective", 2, 'Form responses 1'!AA26 = "Not effective", 3, 'Form responses 1'!AA26 = "Made it worse", 4, 0, TRUE)</f>
        <v>1</v>
      </c>
      <c r="AB26" cm="1">
        <f t="array" ref="AB26">_xlfn.IFS('Form responses 1'!AB26 = "Yes", 1, 'Form responses 1'!AB26 = "No", 2, 'Form responses 1'!AB26 = "Not sure", 3, 0, TRUE)</f>
        <v>1</v>
      </c>
      <c r="AC26" cm="1">
        <f t="array" ref="AC26">_xlfn.IFS('Form responses 1'!AC26 = "Yes", 1, 'Form responses 1'!AC26 = "No", 2, 0, TRUE)</f>
        <v>1</v>
      </c>
    </row>
    <row r="27" spans="1:29" x14ac:dyDescent="0.2">
      <c r="A27" cm="1">
        <f t="array" ref="A27">_xlfn.IFS('Form responses 1'!A27 = "18-24 years", 1, 'Form responses 1'!A27 = "25-34 years", 2, 'Form responses 1'!A27= "35-44 years", 3, 'Form responses 1'!A27= "45-54 years", 4, 'Form responses 1'!A27= "55-64 years", 5, 'Form responses 1'!A27= "65 &amp; above", 6, 0, TRUE)</f>
        <v>2</v>
      </c>
      <c r="B27" cm="1">
        <f t="array" ref="B27">_xlfn.IFS('Form responses 1'!B27 = "Female", 1, 'Form responses 1'!B27 = "Male", 2, 0, TRUE)</f>
        <v>1</v>
      </c>
      <c r="C27" t="s">
        <v>24</v>
      </c>
      <c r="D27" cm="1">
        <f t="array" ref="D27">_xlfn.IFS('Form responses 1'!D27 = "Once", 1, 'Form responses 1'!D27 = "Twice", 2, 'Form responses 1'!D27= "More than twice", 3, 'Form responses 1'!D27= "Occasionally", 4, 0, TRUE)</f>
        <v>3</v>
      </c>
      <c r="E27" cm="1">
        <f t="array" ref="E27">_xlfn.IFS('Form responses 1'!E27 = "Selected", 1, 'Form responses 1'!E27 = "Not Selected", 0, 0, TRUE)</f>
        <v>0</v>
      </c>
      <c r="F27" cm="1">
        <f t="array" ref="F27">_xlfn.IFS('Form responses 1'!F27 = "Selected", 1, 'Form responses 1'!F27 = "Not Selected", 0, 0, TRUE)</f>
        <v>1</v>
      </c>
      <c r="G27" cm="1">
        <f t="array" ref="G27">_xlfn.IFS('Form responses 1'!G27 = "Selected", 1, 'Form responses 1'!G27 = "Not Selected", 0, 0, TRUE)</f>
        <v>0</v>
      </c>
      <c r="H27" cm="1">
        <f t="array" ref="H27">_xlfn.IFS('Form responses 1'!H27 = "Selected", 1, 'Form responses 1'!H27 = "Not Selected", 0, 0, TRUE)</f>
        <v>0</v>
      </c>
      <c r="I27" cm="1">
        <f t="array" ref="I27">_xlfn.IFS('Form responses 1'!I27 = "Selected", 1, 'Form responses 1'!I27 = "Not Selected", 0, 0, TRUE)</f>
        <v>0</v>
      </c>
      <c r="J27" cm="1">
        <f t="array" ref="J27">_xlfn.IFS('Form responses 1'!J27 = "Selected", 1, 'Form responses 1'!J27 = "Not Selected", 0, 0, TRUE)</f>
        <v>0</v>
      </c>
      <c r="K27" cm="1">
        <f t="array" ref="K27">_xlfn.IFS('Form responses 1'!K27 = "Selected", 1, 'Form responses 1'!K27 = "Not Selected", 0, 0, TRUE)</f>
        <v>1</v>
      </c>
      <c r="L27" cm="1">
        <f t="array" ref="L27">_xlfn.IFS('Form responses 1'!L27 = "Selected", 1, 'Form responses 1'!L27 = "Not Selected", 0, 0, TRUE)</f>
        <v>0</v>
      </c>
      <c r="M27" cm="1">
        <f t="array" ref="M27">_xlfn.IFS('Form responses 1'!M27 = "Selected", 1, 'Form responses 1'!M27 = "Not Selected", 0, 0, TRUE)</f>
        <v>0</v>
      </c>
      <c r="N27" cm="1">
        <f t="array" ref="N27">_xlfn.IFS('Form responses 1'!N27 = "Selected", 1, 'Form responses 1'!N27 = "Not Selected", 0, 0, TRUE)</f>
        <v>0</v>
      </c>
      <c r="O27" cm="1">
        <f t="array" ref="O27">_xlfn.IFS('Form responses 1'!O27 = "Yes", 1, 'Form responses 1'!O27 = "No", 2, 0, TRUE)</f>
        <v>2</v>
      </c>
      <c r="P27" cm="1">
        <f t="array" ref="P27">_xlfn.IFS('Form responses 1'!P27 = "Yes", 1, 'Form responses 1'!P27 = "No", 2, 'Form responses 1'!P27 = "Not sure", 3, 0, TRUE)</f>
        <v>1</v>
      </c>
      <c r="Q27" cm="1">
        <f t="array" ref="Q27">_xlfn.IFS('Form responses 1'!Q27 = "Yes", 1, 'Form responses 1'!Q27 = "No", 2, 0, TRUE)</f>
        <v>2</v>
      </c>
      <c r="R27" cm="1">
        <f t="array" ref="R27">_xlfn.IFS('Form responses 1'!R27 = "Yes", 1, 'Form responses 1'!R27 = "No", 2, 0, TRUE)</f>
        <v>2</v>
      </c>
      <c r="S27" cm="1">
        <f t="array" ref="S27">_xlfn.IFS('Form responses 1'!S27 = "Severely embarrassed", 1, 'Form responses 1'!S27 = "Somewhat uncomfortable", 2, 'Form responses 1'!S27= "Not affected", 3, 'Form responses 1'!S27= "Indifferent", 4, 0, TRUE)</f>
        <v>3</v>
      </c>
      <c r="T27" cm="1">
        <f t="array" ref="T27">_xlfn.IFS('Form responses 1'!T27 = "Yes", 1, 'Form responses 1'!T27 = "No", 2, 'Form responses 1'!T27 = "Not sure", 3, 0, TRUE)</f>
        <v>2</v>
      </c>
      <c r="U27" cm="1">
        <f t="array" ref="U27">_xlfn.IFS('Form responses 1'!U27 = "Strongly agree", 1, 'Form responses 1'!U27 = "Agree", 2, 'Form responses 1'!U27 = "Neutral", 3, 'Form responses 1'!U27 = "Disagree", 4, 0, TRUE)</f>
        <v>1</v>
      </c>
      <c r="V27" cm="1">
        <f t="array" ref="V27">_xlfn.IFS('Form responses 1'!V27 = "Selected", 1, 'Form responses 1'!V27 = "Not Selected", 0, 0, TRUE)</f>
        <v>0</v>
      </c>
      <c r="W27" cm="1">
        <f t="array" ref="W27">_xlfn.IFS('Form responses 1'!W27 = "Selected", 1, 'Form responses 1'!W27 = "Not Selected", 0, 0, TRUE)</f>
        <v>0</v>
      </c>
      <c r="X27" cm="1">
        <f t="array" ref="X27">_xlfn.IFS('Form responses 1'!X27 = "Selected", 1, 'Form responses 1'!X27 = "Not Selected", 0, 0, TRUE)</f>
        <v>0</v>
      </c>
      <c r="Y27" cm="1">
        <f t="array" ref="Y27">_xlfn.IFS('Form responses 1'!Y27 = "Selected", 1, 'Form responses 1'!Y27 = "Not Selected", 0, 0, TRUE)</f>
        <v>0</v>
      </c>
      <c r="Z27" cm="1">
        <f t="array" ref="Z27">_xlfn.IFS('Form responses 1'!Z27 = "Selected", 1, 'Form responses 1'!Z27 = "Not Selected", 0, 0, TRUE)</f>
        <v>1</v>
      </c>
      <c r="AA27" cm="1">
        <f t="array" ref="AA27">_xlfn.IFS('Form responses 1'!AA27 = "Very effective", 1, 'Form responses 1'!AA27 = "Somewhat effective", 2, 'Form responses 1'!AA27 = "Not effective", 3, 'Form responses 1'!AA27 = "Made it worse", 4, 0, TRUE)</f>
        <v>1</v>
      </c>
      <c r="AB27" cm="1">
        <f t="array" ref="AB27">_xlfn.IFS('Form responses 1'!AB27 = "Yes", 1, 'Form responses 1'!AB27 = "No", 2, 'Form responses 1'!AB27 = "Not sure", 3, 0, TRUE)</f>
        <v>1</v>
      </c>
      <c r="AC27" cm="1">
        <f t="array" ref="AC27">_xlfn.IFS('Form responses 1'!AC27 = "Yes", 1, 'Form responses 1'!AC27 = "No", 2, 0, TRUE)</f>
        <v>1</v>
      </c>
    </row>
    <row r="28" spans="1:29" x14ac:dyDescent="0.2">
      <c r="A28" cm="1">
        <f t="array" ref="A28">_xlfn.IFS('Form responses 1'!A28 = "18-24 years", 1, 'Form responses 1'!A28 = "25-34 years", 2, 'Form responses 1'!A28= "35-44 years", 3, 'Form responses 1'!A28= "45-54 years", 4, 'Form responses 1'!A28= "55-64 years", 5, 'Form responses 1'!A28= "65 &amp; above", 6, 0, TRUE)</f>
        <v>1</v>
      </c>
      <c r="B28" cm="1">
        <f t="array" ref="B28">_xlfn.IFS('Form responses 1'!B28 = "Female", 1, 'Form responses 1'!B28 = "Male", 2, 0, TRUE)</f>
        <v>2</v>
      </c>
      <c r="C28" t="s">
        <v>51</v>
      </c>
      <c r="D28" cm="1">
        <f t="array" ref="D28">_xlfn.IFS('Form responses 1'!D28 = "Once", 1, 'Form responses 1'!D28 = "Twice", 2, 'Form responses 1'!D28= "More than twice", 3, 'Form responses 1'!D28= "Occasionally", 4, 0, TRUE)</f>
        <v>2</v>
      </c>
      <c r="E28" cm="1">
        <f t="array" ref="E28">_xlfn.IFS('Form responses 1'!E28 = "Selected", 1, 'Form responses 1'!E28 = "Not Selected", 0, 0, TRUE)</f>
        <v>1</v>
      </c>
      <c r="F28" cm="1">
        <f t="array" ref="F28">_xlfn.IFS('Form responses 1'!F28 = "Selected", 1, 'Form responses 1'!F28 = "Not Selected", 0, 0, TRUE)</f>
        <v>1</v>
      </c>
      <c r="G28" cm="1">
        <f t="array" ref="G28">_xlfn.IFS('Form responses 1'!G28 = "Selected", 1, 'Form responses 1'!G28 = "Not Selected", 0, 0, TRUE)</f>
        <v>0</v>
      </c>
      <c r="H28" cm="1">
        <f t="array" ref="H28">_xlfn.IFS('Form responses 1'!H28 = "Selected", 1, 'Form responses 1'!H28 = "Not Selected", 0, 0, TRUE)</f>
        <v>0</v>
      </c>
      <c r="I28" cm="1">
        <f t="array" ref="I28">_xlfn.IFS('Form responses 1'!I28 = "Selected", 1, 'Form responses 1'!I28 = "Not Selected", 0, 0, TRUE)</f>
        <v>0</v>
      </c>
      <c r="J28" cm="1">
        <f t="array" ref="J28">_xlfn.IFS('Form responses 1'!J28 = "Selected", 1, 'Form responses 1'!J28 = "Not Selected", 0, 0, TRUE)</f>
        <v>1</v>
      </c>
      <c r="K28" cm="1">
        <f t="array" ref="K28">_xlfn.IFS('Form responses 1'!K28 = "Selected", 1, 'Form responses 1'!K28 = "Not Selected", 0, 0, TRUE)</f>
        <v>1</v>
      </c>
      <c r="L28" cm="1">
        <f t="array" ref="L28">_xlfn.IFS('Form responses 1'!L28 = "Selected", 1, 'Form responses 1'!L28 = "Not Selected", 0, 0, TRUE)</f>
        <v>0</v>
      </c>
      <c r="M28" cm="1">
        <f t="array" ref="M28">_xlfn.IFS('Form responses 1'!M28 = "Selected", 1, 'Form responses 1'!M28 = "Not Selected", 0, 0, TRUE)</f>
        <v>0</v>
      </c>
      <c r="N28" cm="1">
        <f t="array" ref="N28">_xlfn.IFS('Form responses 1'!N28 = "Selected", 1, 'Form responses 1'!N28 = "Not Selected", 0, 0, TRUE)</f>
        <v>0</v>
      </c>
      <c r="O28" cm="1">
        <f t="array" ref="O28">_xlfn.IFS('Form responses 1'!O28 = "Yes", 1, 'Form responses 1'!O28 = "No", 2, 0, TRUE)</f>
        <v>2</v>
      </c>
      <c r="P28" cm="1">
        <f t="array" ref="P28">_xlfn.IFS('Form responses 1'!P28 = "Yes", 1, 'Form responses 1'!P28 = "No", 2, 'Form responses 1'!P28 = "Not sure", 3, 0, TRUE)</f>
        <v>1</v>
      </c>
      <c r="Q28" cm="1">
        <f t="array" ref="Q28">_xlfn.IFS('Form responses 1'!Q28 = "Yes", 1, 'Form responses 1'!Q28 = "No", 2, 0, TRUE)</f>
        <v>2</v>
      </c>
      <c r="R28" cm="1">
        <f t="array" ref="R28">_xlfn.IFS('Form responses 1'!R28 = "Yes", 1, 'Form responses 1'!R28 = "No", 2, 0, TRUE)</f>
        <v>2</v>
      </c>
      <c r="S28" cm="1">
        <f t="array" ref="S28">_xlfn.IFS('Form responses 1'!S28 = "Severely embarrassed", 1, 'Form responses 1'!S28 = "Somewhat uncomfortable", 2, 'Form responses 1'!S28= "Not affected", 3, 'Form responses 1'!S28= "Indifferent", 4, 0, TRUE)</f>
        <v>3</v>
      </c>
      <c r="T28" cm="1">
        <f t="array" ref="T28">_xlfn.IFS('Form responses 1'!T28 = "Yes", 1, 'Form responses 1'!T28 = "No", 2, 'Form responses 1'!T28 = "Not sure", 3, 0, TRUE)</f>
        <v>2</v>
      </c>
      <c r="U28" cm="1">
        <f t="array" ref="U28">_xlfn.IFS('Form responses 1'!U28 = "Strongly agree", 1, 'Form responses 1'!U28 = "Agree", 2, 'Form responses 1'!U28 = "Neutral", 3, 'Form responses 1'!U28 = "Disagree", 4, 0, TRUE)</f>
        <v>1</v>
      </c>
      <c r="V28" cm="1">
        <f t="array" ref="V28">_xlfn.IFS('Form responses 1'!V28 = "Selected", 1, 'Form responses 1'!V28 = "Not Selected", 0, 0, TRUE)</f>
        <v>1</v>
      </c>
      <c r="W28" cm="1">
        <f t="array" ref="W28">_xlfn.IFS('Form responses 1'!W28 = "Selected", 1, 'Form responses 1'!W28 = "Not Selected", 0, 0, TRUE)</f>
        <v>0</v>
      </c>
      <c r="X28" cm="1">
        <f t="array" ref="X28">_xlfn.IFS('Form responses 1'!X28 = "Selected", 1, 'Form responses 1'!X28 = "Not Selected", 0, 0, TRUE)</f>
        <v>0</v>
      </c>
      <c r="Y28" cm="1">
        <f t="array" ref="Y28">_xlfn.IFS('Form responses 1'!Y28 = "Selected", 1, 'Form responses 1'!Y28 = "Not Selected", 0, 0, TRUE)</f>
        <v>0</v>
      </c>
      <c r="Z28" cm="1">
        <f t="array" ref="Z28">_xlfn.IFS('Form responses 1'!Z28 = "Selected", 1, 'Form responses 1'!Z28 = "Not Selected", 0, 0, TRUE)</f>
        <v>1</v>
      </c>
      <c r="AA28" cm="1">
        <f t="array" ref="AA28">_xlfn.IFS('Form responses 1'!AA28 = "Very effective", 1, 'Form responses 1'!AA28 = "Somewhat effective", 2, 'Form responses 1'!AA28 = "Not effective", 3, 'Form responses 1'!AA28 = "Made it worse", 4, 0, TRUE)</f>
        <v>1</v>
      </c>
      <c r="AB28" cm="1">
        <f t="array" ref="AB28">_xlfn.IFS('Form responses 1'!AB28 = "Yes", 1, 'Form responses 1'!AB28 = "No", 2, 'Form responses 1'!AB28 = "Not sure", 3, 0, TRUE)</f>
        <v>1</v>
      </c>
      <c r="AC28" cm="1">
        <f t="array" ref="AC28">_xlfn.IFS('Form responses 1'!AC28 = "Yes", 1, 'Form responses 1'!AC28 = "No", 2, 0, TRUE)</f>
        <v>1</v>
      </c>
    </row>
    <row r="29" spans="1:29" x14ac:dyDescent="0.2">
      <c r="A29" cm="1">
        <f t="array" ref="A29">_xlfn.IFS('Form responses 1'!A29 = "18-24 years", 1, 'Form responses 1'!A29 = "25-34 years", 2, 'Form responses 1'!A29= "35-44 years", 3, 'Form responses 1'!A29= "45-54 years", 4, 'Form responses 1'!A29= "55-64 years", 5, 'Form responses 1'!A29= "65 &amp; above", 6, 0, TRUE)</f>
        <v>2</v>
      </c>
      <c r="B29" cm="1">
        <f t="array" ref="B29">_xlfn.IFS('Form responses 1'!B29 = "Female", 1, 'Form responses 1'!B29 = "Male", 2, 0, TRUE)</f>
        <v>1</v>
      </c>
      <c r="C29" t="s">
        <v>58</v>
      </c>
      <c r="D29" cm="1">
        <f t="array" ref="D29">_xlfn.IFS('Form responses 1'!D29 = "Once", 1, 'Form responses 1'!D29 = "Twice", 2, 'Form responses 1'!D29= "More than twice", 3, 'Form responses 1'!D29= "Occasionally", 4, 0, TRUE)</f>
        <v>2</v>
      </c>
      <c r="E29" cm="1">
        <f t="array" ref="E29">_xlfn.IFS('Form responses 1'!E29 = "Selected", 1, 'Form responses 1'!E29 = "Not Selected", 0, 0, TRUE)</f>
        <v>1</v>
      </c>
      <c r="F29" cm="1">
        <f t="array" ref="F29">_xlfn.IFS('Form responses 1'!F29 = "Selected", 1, 'Form responses 1'!F29 = "Not Selected", 0, 0, TRUE)</f>
        <v>0</v>
      </c>
      <c r="G29" cm="1">
        <f t="array" ref="G29">_xlfn.IFS('Form responses 1'!G29 = "Selected", 1, 'Form responses 1'!G29 = "Not Selected", 0, 0, TRUE)</f>
        <v>0</v>
      </c>
      <c r="H29" cm="1">
        <f t="array" ref="H29">_xlfn.IFS('Form responses 1'!H29 = "Selected", 1, 'Form responses 1'!H29 = "Not Selected", 0, 0, TRUE)</f>
        <v>0</v>
      </c>
      <c r="I29" cm="1">
        <f t="array" ref="I29">_xlfn.IFS('Form responses 1'!I29 = "Selected", 1, 'Form responses 1'!I29 = "Not Selected", 0, 0, TRUE)</f>
        <v>0</v>
      </c>
      <c r="J29" cm="1">
        <f t="array" ref="J29">_xlfn.IFS('Form responses 1'!J29 = "Selected", 1, 'Form responses 1'!J29 = "Not Selected", 0, 0, TRUE)</f>
        <v>1</v>
      </c>
      <c r="K29" cm="1">
        <f t="array" ref="K29">_xlfn.IFS('Form responses 1'!K29 = "Selected", 1, 'Form responses 1'!K29 = "Not Selected", 0, 0, TRUE)</f>
        <v>0</v>
      </c>
      <c r="L29" cm="1">
        <f t="array" ref="L29">_xlfn.IFS('Form responses 1'!L29 = "Selected", 1, 'Form responses 1'!L29 = "Not Selected", 0, 0, TRUE)</f>
        <v>0</v>
      </c>
      <c r="M29" cm="1">
        <f t="array" ref="M29">_xlfn.IFS('Form responses 1'!M29 = "Selected", 1, 'Form responses 1'!M29 = "Not Selected", 0, 0, TRUE)</f>
        <v>0</v>
      </c>
      <c r="N29" cm="1">
        <f t="array" ref="N29">_xlfn.IFS('Form responses 1'!N29 = "Selected", 1, 'Form responses 1'!N29 = "Not Selected", 0, 0, TRUE)</f>
        <v>0</v>
      </c>
      <c r="O29" cm="1">
        <f t="array" ref="O29">_xlfn.IFS('Form responses 1'!O29 = "Yes", 1, 'Form responses 1'!O29 = "No", 2, 0, TRUE)</f>
        <v>2</v>
      </c>
      <c r="P29" cm="1">
        <f t="array" ref="P29">_xlfn.IFS('Form responses 1'!P29 = "Yes", 1, 'Form responses 1'!P29 = "No", 2, 'Form responses 1'!P29 = "Not sure", 3, 0, TRUE)</f>
        <v>3</v>
      </c>
      <c r="Q29" cm="1">
        <f t="array" ref="Q29">_xlfn.IFS('Form responses 1'!Q29 = "Yes", 1, 'Form responses 1'!Q29 = "No", 2, 0, TRUE)</f>
        <v>2</v>
      </c>
      <c r="R29" cm="1">
        <f t="array" ref="R29">_xlfn.IFS('Form responses 1'!R29 = "Yes", 1, 'Form responses 1'!R29 = "No", 2, 0, TRUE)</f>
        <v>2</v>
      </c>
      <c r="S29" cm="1">
        <f t="array" ref="S29">_xlfn.IFS('Form responses 1'!S29 = "Severely embarrassed", 1, 'Form responses 1'!S29 = "Somewhat uncomfortable", 2, 'Form responses 1'!S29= "Not affected", 3, 'Form responses 1'!S29= "Indifferent", 4, 0, TRUE)</f>
        <v>3</v>
      </c>
      <c r="T29" cm="1">
        <f t="array" ref="T29">_xlfn.IFS('Form responses 1'!T29 = "Yes", 1, 'Form responses 1'!T29 = "No", 2, 'Form responses 1'!T29 = "Not sure", 3, 0, TRUE)</f>
        <v>2</v>
      </c>
      <c r="U29" cm="1">
        <f t="array" ref="U29">_xlfn.IFS('Form responses 1'!U29 = "Strongly agree", 1, 'Form responses 1'!U29 = "Agree", 2, 'Form responses 1'!U29 = "Neutral", 3, 'Form responses 1'!U29 = "Disagree", 4, 0, TRUE)</f>
        <v>2</v>
      </c>
      <c r="V29" cm="1">
        <f t="array" ref="V29">_xlfn.IFS('Form responses 1'!V29 = "Selected", 1, 'Form responses 1'!V29 = "Not Selected", 0, 0, TRUE)</f>
        <v>1</v>
      </c>
      <c r="W29" cm="1">
        <f t="array" ref="W29">_xlfn.IFS('Form responses 1'!W29 = "Selected", 1, 'Form responses 1'!W29 = "Not Selected", 0, 0, TRUE)</f>
        <v>0</v>
      </c>
      <c r="X29" cm="1">
        <f t="array" ref="X29">_xlfn.IFS('Form responses 1'!X29 = "Selected", 1, 'Form responses 1'!X29 = "Not Selected", 0, 0, TRUE)</f>
        <v>0</v>
      </c>
      <c r="Y29" cm="1">
        <f t="array" ref="Y29">_xlfn.IFS('Form responses 1'!Y29 = "Selected", 1, 'Form responses 1'!Y29 = "Not Selected", 0, 0, TRUE)</f>
        <v>0</v>
      </c>
      <c r="Z29" cm="1">
        <f t="array" ref="Z29">_xlfn.IFS('Form responses 1'!Z29 = "Selected", 1, 'Form responses 1'!Z29 = "Not Selected", 0, 0, TRUE)</f>
        <v>1</v>
      </c>
      <c r="AA29" cm="1">
        <f t="array" ref="AA29">_xlfn.IFS('Form responses 1'!AA29 = "Very effective", 1, 'Form responses 1'!AA29 = "Somewhat effective", 2, 'Form responses 1'!AA29 = "Not effective", 3, 'Form responses 1'!AA29 = "Made it worse", 4, 0, TRUE)</f>
        <v>2</v>
      </c>
      <c r="AB29" cm="1">
        <f t="array" ref="AB29">_xlfn.IFS('Form responses 1'!AB29 = "Yes", 1, 'Form responses 1'!AB29 = "No", 2, 'Form responses 1'!AB29 = "Not sure", 3, 0, TRUE)</f>
        <v>1</v>
      </c>
      <c r="AC29" cm="1">
        <f t="array" ref="AC29">_xlfn.IFS('Form responses 1'!AC29 = "Yes", 1, 'Form responses 1'!AC29 = "No", 2, 0, TRUE)</f>
        <v>1</v>
      </c>
    </row>
    <row r="30" spans="1:29" x14ac:dyDescent="0.2">
      <c r="A30" cm="1">
        <f t="array" ref="A30">_xlfn.IFS('Form responses 1'!A30 = "18-24 years", 1, 'Form responses 1'!A30 = "25-34 years", 2, 'Form responses 1'!A30= "35-44 years", 3, 'Form responses 1'!A30= "45-54 years", 4, 'Form responses 1'!A30= "55-64 years", 5, 'Form responses 1'!A30= "65 &amp; above", 6, 0, TRUE)</f>
        <v>1</v>
      </c>
      <c r="B30" cm="1">
        <f t="array" ref="B30">_xlfn.IFS('Form responses 1'!B30 = "Female", 1, 'Form responses 1'!B30 = "Male", 2, 0, TRUE)</f>
        <v>1</v>
      </c>
      <c r="C30" t="s">
        <v>59</v>
      </c>
      <c r="D30" cm="1">
        <f t="array" ref="D30">_xlfn.IFS('Form responses 1'!D30 = "Once", 1, 'Form responses 1'!D30 = "Twice", 2, 'Form responses 1'!D30= "More than twice", 3, 'Form responses 1'!D30= "Occasionally", 4, 0, TRUE)</f>
        <v>2</v>
      </c>
      <c r="E30" cm="1">
        <f t="array" ref="E30">_xlfn.IFS('Form responses 1'!E30 = "Selected", 1, 'Form responses 1'!E30 = "Not Selected", 0, 0, TRUE)</f>
        <v>1</v>
      </c>
      <c r="F30" cm="1">
        <f t="array" ref="F30">_xlfn.IFS('Form responses 1'!F30 = "Selected", 1, 'Form responses 1'!F30 = "Not Selected", 0, 0, TRUE)</f>
        <v>0</v>
      </c>
      <c r="G30" cm="1">
        <f t="array" ref="G30">_xlfn.IFS('Form responses 1'!G30 = "Selected", 1, 'Form responses 1'!G30 = "Not Selected", 0, 0, TRUE)</f>
        <v>0</v>
      </c>
      <c r="H30" cm="1">
        <f t="array" ref="H30">_xlfn.IFS('Form responses 1'!H30 = "Selected", 1, 'Form responses 1'!H30 = "Not Selected", 0, 0, TRUE)</f>
        <v>0</v>
      </c>
      <c r="I30" cm="1">
        <f t="array" ref="I30">_xlfn.IFS('Form responses 1'!I30 = "Selected", 1, 'Form responses 1'!I30 = "Not Selected", 0, 0, TRUE)</f>
        <v>0</v>
      </c>
      <c r="J30" cm="1">
        <f t="array" ref="J30">_xlfn.IFS('Form responses 1'!J30 = "Selected", 1, 'Form responses 1'!J30 = "Not Selected", 0, 0, TRUE)</f>
        <v>0</v>
      </c>
      <c r="K30" cm="1">
        <f t="array" ref="K30">_xlfn.IFS('Form responses 1'!K30 = "Selected", 1, 'Form responses 1'!K30 = "Not Selected", 0, 0, TRUE)</f>
        <v>1</v>
      </c>
      <c r="L30" cm="1">
        <f t="array" ref="L30">_xlfn.IFS('Form responses 1'!L30 = "Selected", 1, 'Form responses 1'!L30 = "Not Selected", 0, 0, TRUE)</f>
        <v>0</v>
      </c>
      <c r="M30" cm="1">
        <f t="array" ref="M30">_xlfn.IFS('Form responses 1'!M30 = "Selected", 1, 'Form responses 1'!M30 = "Not Selected", 0, 0, TRUE)</f>
        <v>0</v>
      </c>
      <c r="N30" cm="1">
        <f t="array" ref="N30">_xlfn.IFS('Form responses 1'!N30 = "Selected", 1, 'Form responses 1'!N30 = "Not Selected", 0, 0, TRUE)</f>
        <v>0</v>
      </c>
      <c r="O30" cm="1">
        <f t="array" ref="O30">_xlfn.IFS('Form responses 1'!O30 = "Yes", 1, 'Form responses 1'!O30 = "No", 2, 0, TRUE)</f>
        <v>2</v>
      </c>
      <c r="P30" cm="1">
        <f t="array" ref="P30">_xlfn.IFS('Form responses 1'!P30 = "Yes", 1, 'Form responses 1'!P30 = "No", 2, 'Form responses 1'!P30 = "Not sure", 3, 0, TRUE)</f>
        <v>1</v>
      </c>
      <c r="Q30" cm="1">
        <f t="array" ref="Q30">_xlfn.IFS('Form responses 1'!Q30 = "Yes", 1, 'Form responses 1'!Q30 = "No", 2, 0, TRUE)</f>
        <v>2</v>
      </c>
      <c r="R30" cm="1">
        <f t="array" ref="R30">_xlfn.IFS('Form responses 1'!R30 = "Yes", 1, 'Form responses 1'!R30 = "No", 2, 0, TRUE)</f>
        <v>2</v>
      </c>
      <c r="S30" cm="1">
        <f t="array" ref="S30">_xlfn.IFS('Form responses 1'!S30 = "Severely embarrassed", 1, 'Form responses 1'!S30 = "Somewhat uncomfortable", 2, 'Form responses 1'!S30= "Not affected", 3, 'Form responses 1'!S30= "Indifferent", 4, 0, TRUE)</f>
        <v>3</v>
      </c>
      <c r="T30" cm="1">
        <f t="array" ref="T30">_xlfn.IFS('Form responses 1'!T30 = "Yes", 1, 'Form responses 1'!T30 = "No", 2, 'Form responses 1'!T30 = "Not sure", 3, 0, TRUE)</f>
        <v>2</v>
      </c>
      <c r="U30" cm="1">
        <f t="array" ref="U30">_xlfn.IFS('Form responses 1'!U30 = "Strongly agree", 1, 'Form responses 1'!U30 = "Agree", 2, 'Form responses 1'!U30 = "Neutral", 3, 'Form responses 1'!U30 = "Disagree", 4, 0, TRUE)</f>
        <v>1</v>
      </c>
      <c r="V30" cm="1">
        <f t="array" ref="V30">_xlfn.IFS('Form responses 1'!V30 = "Selected", 1, 'Form responses 1'!V30 = "Not Selected", 0, 0, TRUE)</f>
        <v>1</v>
      </c>
      <c r="W30" cm="1">
        <f t="array" ref="W30">_xlfn.IFS('Form responses 1'!W30 = "Selected", 1, 'Form responses 1'!W30 = "Not Selected", 0, 0, TRUE)</f>
        <v>0</v>
      </c>
      <c r="X30" cm="1">
        <f t="array" ref="X30">_xlfn.IFS('Form responses 1'!X30 = "Selected", 1, 'Form responses 1'!X30 = "Not Selected", 0, 0, TRUE)</f>
        <v>0</v>
      </c>
      <c r="Y30" cm="1">
        <f t="array" ref="Y30">_xlfn.IFS('Form responses 1'!Y30 = "Selected", 1, 'Form responses 1'!Y30 = "Not Selected", 0, 0, TRUE)</f>
        <v>0</v>
      </c>
      <c r="Z30" cm="1">
        <f t="array" ref="Z30">_xlfn.IFS('Form responses 1'!Z30 = "Selected", 1, 'Form responses 1'!Z30 = "Not Selected", 0, 0, TRUE)</f>
        <v>0</v>
      </c>
      <c r="AA30" cm="1">
        <f t="array" ref="AA30">_xlfn.IFS('Form responses 1'!AA30 = "Very effective", 1, 'Form responses 1'!AA30 = "Somewhat effective", 2, 'Form responses 1'!AA30 = "Not effective", 3, 'Form responses 1'!AA30 = "Made it worse", 4, 0, TRUE)</f>
        <v>1</v>
      </c>
      <c r="AB30" cm="1">
        <f t="array" ref="AB30">_xlfn.IFS('Form responses 1'!AB30 = "Yes", 1, 'Form responses 1'!AB30 = "No", 2, 'Form responses 1'!AB30 = "Not sure", 3, 0, TRUE)</f>
        <v>1</v>
      </c>
      <c r="AC30" cm="1">
        <f t="array" ref="AC30">_xlfn.IFS('Form responses 1'!AC30 = "Yes", 1, 'Form responses 1'!AC30 = "No", 2, 0, TRUE)</f>
        <v>1</v>
      </c>
    </row>
    <row r="31" spans="1:29" x14ac:dyDescent="0.2">
      <c r="A31" cm="1">
        <f t="array" ref="A31">_xlfn.IFS('Form responses 1'!A31 = "18-24 years", 1, 'Form responses 1'!A31 = "25-34 years", 2, 'Form responses 1'!A31= "35-44 years", 3, 'Form responses 1'!A31= "45-54 years", 4, 'Form responses 1'!A31= "55-64 years", 5, 'Form responses 1'!A31= "65 &amp; above", 6, 0, TRUE)</f>
        <v>1</v>
      </c>
      <c r="B31" cm="1">
        <f t="array" ref="B31">_xlfn.IFS('Form responses 1'!B31 = "Female", 1, 'Form responses 1'!B31 = "Male", 2, 0, TRUE)</f>
        <v>2</v>
      </c>
      <c r="C31" t="s">
        <v>60</v>
      </c>
      <c r="D31" cm="1">
        <f t="array" ref="D31">_xlfn.IFS('Form responses 1'!D31 = "Once", 1, 'Form responses 1'!D31 = "Twice", 2, 'Form responses 1'!D31= "More than twice", 3, 'Form responses 1'!D31= "Occasionally", 4, 0, TRUE)</f>
        <v>1</v>
      </c>
      <c r="E31" cm="1">
        <f t="array" ref="E31">_xlfn.IFS('Form responses 1'!E31 = "Selected", 1, 'Form responses 1'!E31 = "Not Selected", 0, 0, TRUE)</f>
        <v>0</v>
      </c>
      <c r="F31" cm="1">
        <f t="array" ref="F31">_xlfn.IFS('Form responses 1'!F31 = "Selected", 1, 'Form responses 1'!F31 = "Not Selected", 0, 0, TRUE)</f>
        <v>0</v>
      </c>
      <c r="G31" cm="1">
        <f t="array" ref="G31">_xlfn.IFS('Form responses 1'!G31 = "Selected", 1, 'Form responses 1'!G31 = "Not Selected", 0, 0, TRUE)</f>
        <v>0</v>
      </c>
      <c r="H31" cm="1">
        <f t="array" ref="H31">_xlfn.IFS('Form responses 1'!H31 = "Selected", 1, 'Form responses 1'!H31 = "Not Selected", 0, 0, TRUE)</f>
        <v>0</v>
      </c>
      <c r="I31" cm="1">
        <f t="array" ref="I31">_xlfn.IFS('Form responses 1'!I31 = "Selected", 1, 'Form responses 1'!I31 = "Not Selected", 0, 0, TRUE)</f>
        <v>1</v>
      </c>
      <c r="J31" cm="1">
        <f t="array" ref="J31">_xlfn.IFS('Form responses 1'!J31 = "Selected", 1, 'Form responses 1'!J31 = "Not Selected", 0, 0, TRUE)</f>
        <v>0</v>
      </c>
      <c r="K31" cm="1">
        <f t="array" ref="K31">_xlfn.IFS('Form responses 1'!K31 = "Selected", 1, 'Form responses 1'!K31 = "Not Selected", 0, 0, TRUE)</f>
        <v>0</v>
      </c>
      <c r="L31" cm="1">
        <f t="array" ref="L31">_xlfn.IFS('Form responses 1'!L31 = "Selected", 1, 'Form responses 1'!L31 = "Not Selected", 0, 0, TRUE)</f>
        <v>0</v>
      </c>
      <c r="M31" cm="1">
        <f t="array" ref="M31">_xlfn.IFS('Form responses 1'!M31 = "Selected", 1, 'Form responses 1'!M31 = "Not Selected", 0, 0, TRUE)</f>
        <v>0</v>
      </c>
      <c r="N31" cm="1">
        <f t="array" ref="N31">_xlfn.IFS('Form responses 1'!N31 = "Selected", 1, 'Form responses 1'!N31 = "Not Selected", 0, 0, TRUE)</f>
        <v>1</v>
      </c>
      <c r="O31" cm="1">
        <f t="array" ref="O31">_xlfn.IFS('Form responses 1'!O31 = "Yes", 1, 'Form responses 1'!O31 = "No", 2, 0, TRUE)</f>
        <v>1</v>
      </c>
      <c r="P31" cm="1">
        <f t="array" ref="P31">_xlfn.IFS('Form responses 1'!P31 = "Yes", 1, 'Form responses 1'!P31 = "No", 2, 'Form responses 1'!P31 = "Not sure", 3, 0, TRUE)</f>
        <v>2</v>
      </c>
      <c r="Q31" cm="1">
        <f t="array" ref="Q31">_xlfn.IFS('Form responses 1'!Q31 = "Yes", 1, 'Form responses 1'!Q31 = "No", 2, 0, TRUE)</f>
        <v>2</v>
      </c>
      <c r="R31" cm="1">
        <f t="array" ref="R31">_xlfn.IFS('Form responses 1'!R31 = "Yes", 1, 'Form responses 1'!R31 = "No", 2, 0, TRUE)</f>
        <v>1</v>
      </c>
      <c r="S31" cm="1">
        <f t="array" ref="S31">_xlfn.IFS('Form responses 1'!S31 = "Severely embarrassed", 1, 'Form responses 1'!S31 = "Somewhat uncomfortable", 2, 'Form responses 1'!S31= "Not affected", 3, 'Form responses 1'!S31= "Indifferent", 4, 0, TRUE)</f>
        <v>4</v>
      </c>
      <c r="T31" cm="1">
        <f t="array" ref="T31">_xlfn.IFS('Form responses 1'!T31 = "Yes", 1, 'Form responses 1'!T31 = "No", 2, 'Form responses 1'!T31 = "Not sure", 3, 0, TRUE)</f>
        <v>3</v>
      </c>
      <c r="U31" cm="1">
        <f t="array" ref="U31">_xlfn.IFS('Form responses 1'!U31 = "Strongly agree", 1, 'Form responses 1'!U31 = "Agree", 2, 'Form responses 1'!U31 = "Neutral", 3, 'Form responses 1'!U31 = "Disagree", 4, 0, TRUE)</f>
        <v>2</v>
      </c>
      <c r="V31" cm="1">
        <f t="array" ref="V31">_xlfn.IFS('Form responses 1'!V31 = "Selected", 1, 'Form responses 1'!V31 = "Not Selected", 0, 0, TRUE)</f>
        <v>1</v>
      </c>
      <c r="W31" cm="1">
        <f t="array" ref="W31">_xlfn.IFS('Form responses 1'!W31 = "Selected", 1, 'Form responses 1'!W31 = "Not Selected", 0, 0, TRUE)</f>
        <v>0</v>
      </c>
      <c r="X31" cm="1">
        <f t="array" ref="X31">_xlfn.IFS('Form responses 1'!X31 = "Selected", 1, 'Form responses 1'!X31 = "Not Selected", 0, 0, TRUE)</f>
        <v>0</v>
      </c>
      <c r="Y31" cm="1">
        <f t="array" ref="Y31">_xlfn.IFS('Form responses 1'!Y31 = "Selected", 1, 'Form responses 1'!Y31 = "Not Selected", 0, 0, TRUE)</f>
        <v>0</v>
      </c>
      <c r="Z31" cm="1">
        <f t="array" ref="Z31">_xlfn.IFS('Form responses 1'!Z31 = "Selected", 1, 'Form responses 1'!Z31 = "Not Selected", 0, 0, TRUE)</f>
        <v>1</v>
      </c>
      <c r="AA31" cm="1">
        <f t="array" ref="AA31">_xlfn.IFS('Form responses 1'!AA31 = "Very effective", 1, 'Form responses 1'!AA31 = "Somewhat effective", 2, 'Form responses 1'!AA31 = "Not effective", 3, 'Form responses 1'!AA31 = "Made it worse", 4, 0, TRUE)</f>
        <v>2</v>
      </c>
      <c r="AB31" cm="1">
        <f t="array" ref="AB31">_xlfn.IFS('Form responses 1'!AB31 = "Yes", 1, 'Form responses 1'!AB31 = "No", 2, 'Form responses 1'!AB31 = "Not sure", 3, 0, TRUE)</f>
        <v>1</v>
      </c>
      <c r="AC31" cm="1">
        <f t="array" ref="AC31">_xlfn.IFS('Form responses 1'!AC31 = "Yes", 1, 'Form responses 1'!AC31 = "No", 2, 0, TRUE)</f>
        <v>2</v>
      </c>
    </row>
    <row r="32" spans="1:29" x14ac:dyDescent="0.2">
      <c r="A32" cm="1">
        <f t="array" ref="A32">_xlfn.IFS('Form responses 1'!A32 = "18-24 years", 1, 'Form responses 1'!A32 = "25-34 years", 2, 'Form responses 1'!A32= "35-44 years", 3, 'Form responses 1'!A32= "45-54 years", 4, 'Form responses 1'!A32= "55-64 years", 5, 'Form responses 1'!A32= "65 &amp; above", 6, 0, TRUE)</f>
        <v>1</v>
      </c>
      <c r="B32" cm="1">
        <f t="array" ref="B32">_xlfn.IFS('Form responses 1'!B32 = "Female", 1, 'Form responses 1'!B32 = "Male", 2, 0, TRUE)</f>
        <v>1</v>
      </c>
      <c r="C32" t="s">
        <v>16</v>
      </c>
      <c r="D32" cm="1">
        <f t="array" ref="D32">_xlfn.IFS('Form responses 1'!D32 = "Once", 1, 'Form responses 1'!D32 = "Twice", 2, 'Form responses 1'!D32= "More than twice", 3, 'Form responses 1'!D32= "Occasionally", 4, 0, TRUE)</f>
        <v>2</v>
      </c>
      <c r="E32" cm="1">
        <f t="array" ref="E32">_xlfn.IFS('Form responses 1'!E32 = "Selected", 1, 'Form responses 1'!E32 = "Not Selected", 0, 0, TRUE)</f>
        <v>1</v>
      </c>
      <c r="F32" cm="1">
        <f t="array" ref="F32">_xlfn.IFS('Form responses 1'!F32 = "Selected", 1, 'Form responses 1'!F32 = "Not Selected", 0, 0, TRUE)</f>
        <v>1</v>
      </c>
      <c r="G32" cm="1">
        <f t="array" ref="G32">_xlfn.IFS('Form responses 1'!G32 = "Selected", 1, 'Form responses 1'!G32 = "Not Selected", 0, 0, TRUE)</f>
        <v>0</v>
      </c>
      <c r="H32" cm="1">
        <f t="array" ref="H32">_xlfn.IFS('Form responses 1'!H32 = "Selected", 1, 'Form responses 1'!H32 = "Not Selected", 0, 0, TRUE)</f>
        <v>0</v>
      </c>
      <c r="I32" cm="1">
        <f t="array" ref="I32">_xlfn.IFS('Form responses 1'!I32 = "Selected", 1, 'Form responses 1'!I32 = "Not Selected", 0, 0, TRUE)</f>
        <v>0</v>
      </c>
      <c r="J32" cm="1">
        <f t="array" ref="J32">_xlfn.IFS('Form responses 1'!J32 = "Selected", 1, 'Form responses 1'!J32 = "Not Selected", 0, 0, TRUE)</f>
        <v>1</v>
      </c>
      <c r="K32" cm="1">
        <f t="array" ref="K32">_xlfn.IFS('Form responses 1'!K32 = "Selected", 1, 'Form responses 1'!K32 = "Not Selected", 0, 0, TRUE)</f>
        <v>0</v>
      </c>
      <c r="L32" cm="1">
        <f t="array" ref="L32">_xlfn.IFS('Form responses 1'!L32 = "Selected", 1, 'Form responses 1'!L32 = "Not Selected", 0, 0, TRUE)</f>
        <v>0</v>
      </c>
      <c r="M32" cm="1">
        <f t="array" ref="M32">_xlfn.IFS('Form responses 1'!M32 = "Selected", 1, 'Form responses 1'!M32 = "Not Selected", 0, 0, TRUE)</f>
        <v>0</v>
      </c>
      <c r="N32" cm="1">
        <f t="array" ref="N32">_xlfn.IFS('Form responses 1'!N32 = "Selected", 1, 'Form responses 1'!N32 = "Not Selected", 0, 0, TRUE)</f>
        <v>0</v>
      </c>
      <c r="O32" cm="1">
        <f t="array" ref="O32">_xlfn.IFS('Form responses 1'!O32 = "Yes", 1, 'Form responses 1'!O32 = "No", 2, 0, TRUE)</f>
        <v>2</v>
      </c>
      <c r="P32" cm="1">
        <f t="array" ref="P32">_xlfn.IFS('Form responses 1'!P32 = "Yes", 1, 'Form responses 1'!P32 = "No", 2, 'Form responses 1'!P32 = "Not sure", 3, 0, TRUE)</f>
        <v>3</v>
      </c>
      <c r="Q32" cm="1">
        <f t="array" ref="Q32">_xlfn.IFS('Form responses 1'!Q32 = "Yes", 1, 'Form responses 1'!Q32 = "No", 2, 0, TRUE)</f>
        <v>2</v>
      </c>
      <c r="R32" cm="1">
        <f t="array" ref="R32">_xlfn.IFS('Form responses 1'!R32 = "Yes", 1, 'Form responses 1'!R32 = "No", 2, 0, TRUE)</f>
        <v>2</v>
      </c>
      <c r="S32" cm="1">
        <f t="array" ref="S32">_xlfn.IFS('Form responses 1'!S32 = "Severely embarrassed", 1, 'Form responses 1'!S32 = "Somewhat uncomfortable", 2, 'Form responses 1'!S32= "Not affected", 3, 'Form responses 1'!S32= "Indifferent", 4, 0, TRUE)</f>
        <v>3</v>
      </c>
      <c r="T32" cm="1">
        <f t="array" ref="T32">_xlfn.IFS('Form responses 1'!T32 = "Yes", 1, 'Form responses 1'!T32 = "No", 2, 'Form responses 1'!T32 = "Not sure", 3, 0, TRUE)</f>
        <v>2</v>
      </c>
      <c r="U32" cm="1">
        <f t="array" ref="U32">_xlfn.IFS('Form responses 1'!U32 = "Strongly agree", 1, 'Form responses 1'!U32 = "Agree", 2, 'Form responses 1'!U32 = "Neutral", 3, 'Form responses 1'!U32 = "Disagree", 4, 0, TRUE)</f>
        <v>1</v>
      </c>
      <c r="V32" cm="1">
        <f t="array" ref="V32">_xlfn.IFS('Form responses 1'!V32 = "Selected", 1, 'Form responses 1'!V32 = "Not Selected", 0, 0, TRUE)</f>
        <v>1</v>
      </c>
      <c r="W32" cm="1">
        <f t="array" ref="W32">_xlfn.IFS('Form responses 1'!W32 = "Selected", 1, 'Form responses 1'!W32 = "Not Selected", 0, 0, TRUE)</f>
        <v>0</v>
      </c>
      <c r="X32" cm="1">
        <f t="array" ref="X32">_xlfn.IFS('Form responses 1'!X32 = "Selected", 1, 'Form responses 1'!X32 = "Not Selected", 0, 0, TRUE)</f>
        <v>0</v>
      </c>
      <c r="Y32" cm="1">
        <f t="array" ref="Y32">_xlfn.IFS('Form responses 1'!Y32 = "Selected", 1, 'Form responses 1'!Y32 = "Not Selected", 0, 0, TRUE)</f>
        <v>0</v>
      </c>
      <c r="Z32" cm="1">
        <f t="array" ref="Z32">_xlfn.IFS('Form responses 1'!Z32 = "Selected", 1, 'Form responses 1'!Z32 = "Not Selected", 0, 0, TRUE)</f>
        <v>1</v>
      </c>
      <c r="AA32" cm="1">
        <f t="array" ref="AA32">_xlfn.IFS('Form responses 1'!AA32 = "Very effective", 1, 'Form responses 1'!AA32 = "Somewhat effective", 2, 'Form responses 1'!AA32 = "Not effective", 3, 'Form responses 1'!AA32 = "Made it worse", 4, 0, TRUE)</f>
        <v>1</v>
      </c>
      <c r="AB32" cm="1">
        <f t="array" ref="AB32">_xlfn.IFS('Form responses 1'!AB32 = "Yes", 1, 'Form responses 1'!AB32 = "No", 2, 'Form responses 1'!AB32 = "Not sure", 3, 0, TRUE)</f>
        <v>1</v>
      </c>
      <c r="AC32" cm="1">
        <f t="array" ref="AC32">_xlfn.IFS('Form responses 1'!AC32 = "Yes", 1, 'Form responses 1'!AC32 = "No", 2, 0, TRUE)</f>
        <v>1</v>
      </c>
    </row>
    <row r="33" spans="1:29" x14ac:dyDescent="0.2">
      <c r="A33" cm="1">
        <f t="array" ref="A33">_xlfn.IFS('Form responses 1'!A33 = "18-24 years", 1, 'Form responses 1'!A33 = "25-34 years", 2, 'Form responses 1'!A33= "35-44 years", 3, 'Form responses 1'!A33= "45-54 years", 4, 'Form responses 1'!A33= "55-64 years", 5, 'Form responses 1'!A33= "65 &amp; above", 6, 0, TRUE)</f>
        <v>1</v>
      </c>
      <c r="B33" cm="1">
        <f t="array" ref="B33">_xlfn.IFS('Form responses 1'!B33 = "Female", 1, 'Form responses 1'!B33 = "Male", 2, 0, TRUE)</f>
        <v>1</v>
      </c>
      <c r="C33" t="s">
        <v>24</v>
      </c>
      <c r="D33" cm="1">
        <f t="array" ref="D33">_xlfn.IFS('Form responses 1'!D33 = "Once", 1, 'Form responses 1'!D33 = "Twice", 2, 'Form responses 1'!D33= "More than twice", 3, 'Form responses 1'!D33= "Occasionally", 4, 0, TRUE)</f>
        <v>2</v>
      </c>
      <c r="E33" cm="1">
        <f t="array" ref="E33">_xlfn.IFS('Form responses 1'!E33 = "Selected", 1, 'Form responses 1'!E33 = "Not Selected", 0, 0, TRUE)</f>
        <v>1</v>
      </c>
      <c r="F33" cm="1">
        <f t="array" ref="F33">_xlfn.IFS('Form responses 1'!F33 = "Selected", 1, 'Form responses 1'!F33 = "Not Selected", 0, 0, TRUE)</f>
        <v>1</v>
      </c>
      <c r="G33" cm="1">
        <f t="array" ref="G33">_xlfn.IFS('Form responses 1'!G33 = "Selected", 1, 'Form responses 1'!G33 = "Not Selected", 0, 0, TRUE)</f>
        <v>1</v>
      </c>
      <c r="H33" cm="1">
        <f t="array" ref="H33">_xlfn.IFS('Form responses 1'!H33 = "Selected", 1, 'Form responses 1'!H33 = "Not Selected", 0, 0, TRUE)</f>
        <v>0</v>
      </c>
      <c r="I33" cm="1">
        <f t="array" ref="I33">_xlfn.IFS('Form responses 1'!I33 = "Selected", 1, 'Form responses 1'!I33 = "Not Selected", 0, 0, TRUE)</f>
        <v>0</v>
      </c>
      <c r="J33" cm="1">
        <f t="array" ref="J33">_xlfn.IFS('Form responses 1'!J33 = "Selected", 1, 'Form responses 1'!J33 = "Not Selected", 0, 0, TRUE)</f>
        <v>1</v>
      </c>
      <c r="K33" cm="1">
        <f t="array" ref="K33">_xlfn.IFS('Form responses 1'!K33 = "Selected", 1, 'Form responses 1'!K33 = "Not Selected", 0, 0, TRUE)</f>
        <v>0</v>
      </c>
      <c r="L33" cm="1">
        <f t="array" ref="L33">_xlfn.IFS('Form responses 1'!L33 = "Selected", 1, 'Form responses 1'!L33 = "Not Selected", 0, 0, TRUE)</f>
        <v>1</v>
      </c>
      <c r="M33" cm="1">
        <f t="array" ref="M33">_xlfn.IFS('Form responses 1'!M33 = "Selected", 1, 'Form responses 1'!M33 = "Not Selected", 0, 0, TRUE)</f>
        <v>0</v>
      </c>
      <c r="N33" cm="1">
        <f t="array" ref="N33">_xlfn.IFS('Form responses 1'!N33 = "Selected", 1, 'Form responses 1'!N33 = "Not Selected", 0, 0, TRUE)</f>
        <v>1</v>
      </c>
      <c r="O33" cm="1">
        <f t="array" ref="O33">_xlfn.IFS('Form responses 1'!O33 = "Yes", 1, 'Form responses 1'!O33 = "No", 2, 0, TRUE)</f>
        <v>2</v>
      </c>
      <c r="P33" cm="1">
        <f t="array" ref="P33">_xlfn.IFS('Form responses 1'!P33 = "Yes", 1, 'Form responses 1'!P33 = "No", 2, 'Form responses 1'!P33 = "Not sure", 3, 0, TRUE)</f>
        <v>2</v>
      </c>
      <c r="Q33" cm="1">
        <f t="array" ref="Q33">_xlfn.IFS('Form responses 1'!Q33 = "Yes", 1, 'Form responses 1'!Q33 = "No", 2, 0, TRUE)</f>
        <v>2</v>
      </c>
      <c r="R33" cm="1">
        <f t="array" ref="R33">_xlfn.IFS('Form responses 1'!R33 = "Yes", 1, 'Form responses 1'!R33 = "No", 2, 0, TRUE)</f>
        <v>2</v>
      </c>
      <c r="S33" cm="1">
        <f t="array" ref="S33">_xlfn.IFS('Form responses 1'!S33 = "Severely embarrassed", 1, 'Form responses 1'!S33 = "Somewhat uncomfortable", 2, 'Form responses 1'!S33= "Not affected", 3, 'Form responses 1'!S33= "Indifferent", 4, 0, TRUE)</f>
        <v>3</v>
      </c>
      <c r="T33" cm="1">
        <f t="array" ref="T33">_xlfn.IFS('Form responses 1'!T33 = "Yes", 1, 'Form responses 1'!T33 = "No", 2, 'Form responses 1'!T33 = "Not sure", 3, 0, TRUE)</f>
        <v>2</v>
      </c>
      <c r="U33" cm="1">
        <f t="array" ref="U33">_xlfn.IFS('Form responses 1'!U33 = "Strongly agree", 1, 'Form responses 1'!U33 = "Agree", 2, 'Form responses 1'!U33 = "Neutral", 3, 'Form responses 1'!U33 = "Disagree", 4, 0, TRUE)</f>
        <v>2</v>
      </c>
      <c r="V33" cm="1">
        <f t="array" ref="V33">_xlfn.IFS('Form responses 1'!V33 = "Selected", 1, 'Form responses 1'!V33 = "Not Selected", 0, 0, TRUE)</f>
        <v>1</v>
      </c>
      <c r="W33" cm="1">
        <f t="array" ref="W33">_xlfn.IFS('Form responses 1'!W33 = "Selected", 1, 'Form responses 1'!W33 = "Not Selected", 0, 0, TRUE)</f>
        <v>0</v>
      </c>
      <c r="X33" cm="1">
        <f t="array" ref="X33">_xlfn.IFS('Form responses 1'!X33 = "Selected", 1, 'Form responses 1'!X33 = "Not Selected", 0, 0, TRUE)</f>
        <v>0</v>
      </c>
      <c r="Y33" cm="1">
        <f t="array" ref="Y33">_xlfn.IFS('Form responses 1'!Y33 = "Selected", 1, 'Form responses 1'!Y33 = "Not Selected", 0, 0, TRUE)</f>
        <v>0</v>
      </c>
      <c r="Z33" cm="1">
        <f t="array" ref="Z33">_xlfn.IFS('Form responses 1'!Z33 = "Selected", 1, 'Form responses 1'!Z33 = "Not Selected", 0, 0, TRUE)</f>
        <v>1</v>
      </c>
      <c r="AA33" cm="1">
        <f t="array" ref="AA33">_xlfn.IFS('Form responses 1'!AA33 = "Very effective", 1, 'Form responses 1'!AA33 = "Somewhat effective", 2, 'Form responses 1'!AA33 = "Not effective", 3, 'Form responses 1'!AA33 = "Made it worse", 4, 0, TRUE)</f>
        <v>1</v>
      </c>
      <c r="AB33" cm="1">
        <f t="array" ref="AB33">_xlfn.IFS('Form responses 1'!AB33 = "Yes", 1, 'Form responses 1'!AB33 = "No", 2, 'Form responses 1'!AB33 = "Not sure", 3, 0, TRUE)</f>
        <v>1</v>
      </c>
      <c r="AC33" cm="1">
        <f t="array" ref="AC33">_xlfn.IFS('Form responses 1'!AC33 = "Yes", 1, 'Form responses 1'!AC33 = "No", 2, 0, TRUE)</f>
        <v>1</v>
      </c>
    </row>
    <row r="34" spans="1:29" x14ac:dyDescent="0.2">
      <c r="A34" cm="1">
        <f t="array" ref="A34">_xlfn.IFS('Form responses 1'!A34 = "18-24 years", 1, 'Form responses 1'!A34 = "25-34 years", 2, 'Form responses 1'!A34= "35-44 years", 3, 'Form responses 1'!A34= "45-54 years", 4, 'Form responses 1'!A34= "55-64 years", 5, 'Form responses 1'!A34= "65 &amp; above", 6, 0, TRUE)</f>
        <v>2</v>
      </c>
      <c r="B34" cm="1">
        <f t="array" ref="B34">_xlfn.IFS('Form responses 1'!B34 = "Female", 1, 'Form responses 1'!B34 = "Male", 2, 0, TRUE)</f>
        <v>1</v>
      </c>
      <c r="C34" t="s">
        <v>62</v>
      </c>
      <c r="D34" cm="1">
        <f t="array" ref="D34">_xlfn.IFS('Form responses 1'!D34 = "Once", 1, 'Form responses 1'!D34 = "Twice", 2, 'Form responses 1'!D34= "More than twice", 3, 'Form responses 1'!D34= "Occasionally", 4, 0, TRUE)</f>
        <v>2</v>
      </c>
      <c r="E34" cm="1">
        <f t="array" ref="E34">_xlfn.IFS('Form responses 1'!E34 = "Selected", 1, 'Form responses 1'!E34 = "Not Selected", 0, 0, TRUE)</f>
        <v>0</v>
      </c>
      <c r="F34" cm="1">
        <f t="array" ref="F34">_xlfn.IFS('Form responses 1'!F34 = "Selected", 1, 'Form responses 1'!F34 = "Not Selected", 0, 0, TRUE)</f>
        <v>1</v>
      </c>
      <c r="G34" cm="1">
        <f t="array" ref="G34">_xlfn.IFS('Form responses 1'!G34 = "Selected", 1, 'Form responses 1'!G34 = "Not Selected", 0, 0, TRUE)</f>
        <v>0</v>
      </c>
      <c r="H34" cm="1">
        <f t="array" ref="H34">_xlfn.IFS('Form responses 1'!H34 = "Selected", 1, 'Form responses 1'!H34 = "Not Selected", 0, 0, TRUE)</f>
        <v>0</v>
      </c>
      <c r="I34" cm="1">
        <f t="array" ref="I34">_xlfn.IFS('Form responses 1'!I34 = "Selected", 1, 'Form responses 1'!I34 = "Not Selected", 0, 0, TRUE)</f>
        <v>0</v>
      </c>
      <c r="J34" cm="1">
        <f t="array" ref="J34">_xlfn.IFS('Form responses 1'!J34 = "Selected", 1, 'Form responses 1'!J34 = "Not Selected", 0, 0, TRUE)</f>
        <v>0</v>
      </c>
      <c r="K34" cm="1">
        <f t="array" ref="K34">_xlfn.IFS('Form responses 1'!K34 = "Selected", 1, 'Form responses 1'!K34 = "Not Selected", 0, 0, TRUE)</f>
        <v>0</v>
      </c>
      <c r="L34" cm="1">
        <f t="array" ref="L34">_xlfn.IFS('Form responses 1'!L34 = "Selected", 1, 'Form responses 1'!L34 = "Not Selected", 0, 0, TRUE)</f>
        <v>0</v>
      </c>
      <c r="M34" cm="1">
        <f t="array" ref="M34">_xlfn.IFS('Form responses 1'!M34 = "Selected", 1, 'Form responses 1'!M34 = "Not Selected", 0, 0, TRUE)</f>
        <v>0</v>
      </c>
      <c r="N34" cm="1">
        <f t="array" ref="N34">_xlfn.IFS('Form responses 1'!N34 = "Selected", 1, 'Form responses 1'!N34 = "Not Selected", 0, 0, TRUE)</f>
        <v>1</v>
      </c>
      <c r="O34" cm="1">
        <f t="array" ref="O34">_xlfn.IFS('Form responses 1'!O34 = "Yes", 1, 'Form responses 1'!O34 = "No", 2, 0, TRUE)</f>
        <v>2</v>
      </c>
      <c r="P34" cm="1">
        <f t="array" ref="P34">_xlfn.IFS('Form responses 1'!P34 = "Yes", 1, 'Form responses 1'!P34 = "No", 2, 'Form responses 1'!P34 = "Not sure", 3, 0, TRUE)</f>
        <v>2</v>
      </c>
      <c r="Q34" cm="1">
        <f t="array" ref="Q34">_xlfn.IFS('Form responses 1'!Q34 = "Yes", 1, 'Form responses 1'!Q34 = "No", 2, 0, TRUE)</f>
        <v>2</v>
      </c>
      <c r="R34" cm="1">
        <f t="array" ref="R34">_xlfn.IFS('Form responses 1'!R34 = "Yes", 1, 'Form responses 1'!R34 = "No", 2, 0, TRUE)</f>
        <v>2</v>
      </c>
      <c r="S34" cm="1">
        <f t="array" ref="S34">_xlfn.IFS('Form responses 1'!S34 = "Severely embarrassed", 1, 'Form responses 1'!S34 = "Somewhat uncomfortable", 2, 'Form responses 1'!S34= "Not affected", 3, 'Form responses 1'!S34= "Indifferent", 4, 0, TRUE)</f>
        <v>3</v>
      </c>
      <c r="T34" cm="1">
        <f t="array" ref="T34">_xlfn.IFS('Form responses 1'!T34 = "Yes", 1, 'Form responses 1'!T34 = "No", 2, 'Form responses 1'!T34 = "Not sure", 3, 0, TRUE)</f>
        <v>2</v>
      </c>
      <c r="U34" cm="1">
        <f t="array" ref="U34">_xlfn.IFS('Form responses 1'!U34 = "Strongly agree", 1, 'Form responses 1'!U34 = "Agree", 2, 'Form responses 1'!U34 = "Neutral", 3, 'Form responses 1'!U34 = "Disagree", 4, 0, TRUE)</f>
        <v>2</v>
      </c>
      <c r="V34" cm="1">
        <f t="array" ref="V34">_xlfn.IFS('Form responses 1'!V34 = "Selected", 1, 'Form responses 1'!V34 = "Not Selected", 0, 0, TRUE)</f>
        <v>1</v>
      </c>
      <c r="W34" cm="1">
        <f t="array" ref="W34">_xlfn.IFS('Form responses 1'!W34 = "Selected", 1, 'Form responses 1'!W34 = "Not Selected", 0, 0, TRUE)</f>
        <v>1</v>
      </c>
      <c r="X34" cm="1">
        <f t="array" ref="X34">_xlfn.IFS('Form responses 1'!X34 = "Selected", 1, 'Form responses 1'!X34 = "Not Selected", 0, 0, TRUE)</f>
        <v>0</v>
      </c>
      <c r="Y34" cm="1">
        <f t="array" ref="Y34">_xlfn.IFS('Form responses 1'!Y34 = "Selected", 1, 'Form responses 1'!Y34 = "Not Selected", 0, 0, TRUE)</f>
        <v>0</v>
      </c>
      <c r="Z34" cm="1">
        <f t="array" ref="Z34">_xlfn.IFS('Form responses 1'!Z34 = "Selected", 1, 'Form responses 1'!Z34 = "Not Selected", 0, 0, TRUE)</f>
        <v>1</v>
      </c>
      <c r="AA34" cm="1">
        <f t="array" ref="AA34">_xlfn.IFS('Form responses 1'!AA34 = "Very effective", 1, 'Form responses 1'!AA34 = "Somewhat effective", 2, 'Form responses 1'!AA34 = "Not effective", 3, 'Form responses 1'!AA34 = "Made it worse", 4, 0, TRUE)</f>
        <v>1</v>
      </c>
      <c r="AB34" cm="1">
        <f t="array" ref="AB34">_xlfn.IFS('Form responses 1'!AB34 = "Yes", 1, 'Form responses 1'!AB34 = "No", 2, 'Form responses 1'!AB34 = "Not sure", 3, 0, TRUE)</f>
        <v>2</v>
      </c>
      <c r="AC34" cm="1">
        <f t="array" ref="AC34">_xlfn.IFS('Form responses 1'!AC34 = "Yes", 1, 'Form responses 1'!AC34 = "No", 2, 0, TRUE)</f>
        <v>1</v>
      </c>
    </row>
    <row r="35" spans="1:29" x14ac:dyDescent="0.2">
      <c r="A35" cm="1">
        <f t="array" ref="A35">_xlfn.IFS('Form responses 1'!A35 = "18-24 years", 1, 'Form responses 1'!A35 = "25-34 years", 2, 'Form responses 1'!A35= "35-44 years", 3, 'Form responses 1'!A35= "45-54 years", 4, 'Form responses 1'!A35= "55-64 years", 5, 'Form responses 1'!A35= "65 &amp; above", 6, 0, TRUE)</f>
        <v>2</v>
      </c>
      <c r="B35" cm="1">
        <f t="array" ref="B35">_xlfn.IFS('Form responses 1'!B35 = "Female", 1, 'Form responses 1'!B35 = "Male", 2, 0, TRUE)</f>
        <v>2</v>
      </c>
      <c r="C35" t="s">
        <v>63</v>
      </c>
      <c r="D35" cm="1">
        <f t="array" ref="D35">_xlfn.IFS('Form responses 1'!D35 = "Once", 1, 'Form responses 1'!D35 = "Twice", 2, 'Form responses 1'!D35= "More than twice", 3, 'Form responses 1'!D35= "Occasionally", 4, 0, TRUE)</f>
        <v>2</v>
      </c>
      <c r="E35" cm="1">
        <f t="array" ref="E35">_xlfn.IFS('Form responses 1'!E35 = "Selected", 1, 'Form responses 1'!E35 = "Not Selected", 0, 0, TRUE)</f>
        <v>1</v>
      </c>
      <c r="F35" cm="1">
        <f t="array" ref="F35">_xlfn.IFS('Form responses 1'!F35 = "Selected", 1, 'Form responses 1'!F35 = "Not Selected", 0, 0, TRUE)</f>
        <v>1</v>
      </c>
      <c r="G35" cm="1">
        <f t="array" ref="G35">_xlfn.IFS('Form responses 1'!G35 = "Selected", 1, 'Form responses 1'!G35 = "Not Selected", 0, 0, TRUE)</f>
        <v>0</v>
      </c>
      <c r="H35" cm="1">
        <f t="array" ref="H35">_xlfn.IFS('Form responses 1'!H35 = "Selected", 1, 'Form responses 1'!H35 = "Not Selected", 0, 0, TRUE)</f>
        <v>0</v>
      </c>
      <c r="I35" cm="1">
        <f t="array" ref="I35">_xlfn.IFS('Form responses 1'!I35 = "Selected", 1, 'Form responses 1'!I35 = "Not Selected", 0, 0, TRUE)</f>
        <v>0</v>
      </c>
      <c r="J35" cm="1">
        <f t="array" ref="J35">_xlfn.IFS('Form responses 1'!J35 = "Selected", 1, 'Form responses 1'!J35 = "Not Selected", 0, 0, TRUE)</f>
        <v>0</v>
      </c>
      <c r="K35" cm="1">
        <f t="array" ref="K35">_xlfn.IFS('Form responses 1'!K35 = "Selected", 1, 'Form responses 1'!K35 = "Not Selected", 0, 0, TRUE)</f>
        <v>1</v>
      </c>
      <c r="L35" cm="1">
        <f t="array" ref="L35">_xlfn.IFS('Form responses 1'!L35 = "Selected", 1, 'Form responses 1'!L35 = "Not Selected", 0, 0, TRUE)</f>
        <v>0</v>
      </c>
      <c r="M35" cm="1">
        <f t="array" ref="M35">_xlfn.IFS('Form responses 1'!M35 = "Selected", 1, 'Form responses 1'!M35 = "Not Selected", 0, 0, TRUE)</f>
        <v>1</v>
      </c>
      <c r="N35" cm="1">
        <f t="array" ref="N35">_xlfn.IFS('Form responses 1'!N35 = "Selected", 1, 'Form responses 1'!N35 = "Not Selected", 0, 0, TRUE)</f>
        <v>0</v>
      </c>
      <c r="O35" cm="1">
        <f t="array" ref="O35">_xlfn.IFS('Form responses 1'!O35 = "Yes", 1, 'Form responses 1'!O35 = "No", 2, 0, TRUE)</f>
        <v>1</v>
      </c>
      <c r="P35" cm="1">
        <f t="array" ref="P35">_xlfn.IFS('Form responses 1'!P35 = "Yes", 1, 'Form responses 1'!P35 = "No", 2, 'Form responses 1'!P35 = "Not sure", 3, 0, TRUE)</f>
        <v>2</v>
      </c>
      <c r="Q35" cm="1">
        <f t="array" ref="Q35">_xlfn.IFS('Form responses 1'!Q35 = "Yes", 1, 'Form responses 1'!Q35 = "No", 2, 0, TRUE)</f>
        <v>2</v>
      </c>
      <c r="R35" cm="1">
        <f t="array" ref="R35">_xlfn.IFS('Form responses 1'!R35 = "Yes", 1, 'Form responses 1'!R35 = "No", 2, 0, TRUE)</f>
        <v>2</v>
      </c>
      <c r="S35" cm="1">
        <f t="array" ref="S35">_xlfn.IFS('Form responses 1'!S35 = "Severely embarrassed", 1, 'Form responses 1'!S35 = "Somewhat uncomfortable", 2, 'Form responses 1'!S35= "Not affected", 3, 'Form responses 1'!S35= "Indifferent", 4, 0, TRUE)</f>
        <v>3</v>
      </c>
      <c r="T35" cm="1">
        <f t="array" ref="T35">_xlfn.IFS('Form responses 1'!T35 = "Yes", 1, 'Form responses 1'!T35 = "No", 2, 'Form responses 1'!T35 = "Not sure", 3, 0, TRUE)</f>
        <v>2</v>
      </c>
      <c r="U35" cm="1">
        <f t="array" ref="U35">_xlfn.IFS('Form responses 1'!U35 = "Strongly agree", 1, 'Form responses 1'!U35 = "Agree", 2, 'Form responses 1'!U35 = "Neutral", 3, 'Form responses 1'!U35 = "Disagree", 4, 0, TRUE)</f>
        <v>1</v>
      </c>
      <c r="V35" cm="1">
        <f t="array" ref="V35">_xlfn.IFS('Form responses 1'!V35 = "Selected", 1, 'Form responses 1'!V35 = "Not Selected", 0, 0, TRUE)</f>
        <v>1</v>
      </c>
      <c r="W35" cm="1">
        <f t="array" ref="W35">_xlfn.IFS('Form responses 1'!W35 = "Selected", 1, 'Form responses 1'!W35 = "Not Selected", 0, 0, TRUE)</f>
        <v>0</v>
      </c>
      <c r="X35" cm="1">
        <f t="array" ref="X35">_xlfn.IFS('Form responses 1'!X35 = "Selected", 1, 'Form responses 1'!X35 = "Not Selected", 0, 0, TRUE)</f>
        <v>0</v>
      </c>
      <c r="Y35" cm="1">
        <f t="array" ref="Y35">_xlfn.IFS('Form responses 1'!Y35 = "Selected", 1, 'Form responses 1'!Y35 = "Not Selected", 0, 0, TRUE)</f>
        <v>0</v>
      </c>
      <c r="Z35" cm="1">
        <f t="array" ref="Z35">_xlfn.IFS('Form responses 1'!Z35 = "Selected", 1, 'Form responses 1'!Z35 = "Not Selected", 0, 0, TRUE)</f>
        <v>0</v>
      </c>
      <c r="AA35" cm="1">
        <f t="array" ref="AA35">_xlfn.IFS('Form responses 1'!AA35 = "Very effective", 1, 'Form responses 1'!AA35 = "Somewhat effective", 2, 'Form responses 1'!AA35 = "Not effective", 3, 'Form responses 1'!AA35 = "Made it worse", 4, 0, TRUE)</f>
        <v>1</v>
      </c>
      <c r="AB35" cm="1">
        <f t="array" ref="AB35">_xlfn.IFS('Form responses 1'!AB35 = "Yes", 1, 'Form responses 1'!AB35 = "No", 2, 'Form responses 1'!AB35 = "Not sure", 3, 0, TRUE)</f>
        <v>1</v>
      </c>
      <c r="AC35" cm="1">
        <f t="array" ref="AC35">_xlfn.IFS('Form responses 1'!AC35 = "Yes", 1, 'Form responses 1'!AC35 = "No", 2, 0, TRUE)</f>
        <v>1</v>
      </c>
    </row>
    <row r="36" spans="1:29" x14ac:dyDescent="0.2">
      <c r="A36" cm="1">
        <f t="array" ref="A36">_xlfn.IFS('Form responses 1'!A36 = "18-24 years", 1, 'Form responses 1'!A36 = "25-34 years", 2, 'Form responses 1'!A36= "35-44 years", 3, 'Form responses 1'!A36= "45-54 years", 4, 'Form responses 1'!A36= "55-64 years", 5, 'Form responses 1'!A36= "65 &amp; above", 6, 0, TRUE)</f>
        <v>2</v>
      </c>
      <c r="B36" cm="1">
        <f t="array" ref="B36">_xlfn.IFS('Form responses 1'!B36 = "Female", 1, 'Form responses 1'!B36 = "Male", 2, 0, TRUE)</f>
        <v>2</v>
      </c>
      <c r="C36" t="s">
        <v>63</v>
      </c>
      <c r="D36" cm="1">
        <f t="array" ref="D36">_xlfn.IFS('Form responses 1'!D36 = "Once", 1, 'Form responses 1'!D36 = "Twice", 2, 'Form responses 1'!D36= "More than twice", 3, 'Form responses 1'!D36= "Occasionally", 4, 0, TRUE)</f>
        <v>2</v>
      </c>
      <c r="E36" cm="1">
        <f t="array" ref="E36">_xlfn.IFS('Form responses 1'!E36 = "Selected", 1, 'Form responses 1'!E36 = "Not Selected", 0, 0, TRUE)</f>
        <v>1</v>
      </c>
      <c r="F36" cm="1">
        <f t="array" ref="F36">_xlfn.IFS('Form responses 1'!F36 = "Selected", 1, 'Form responses 1'!F36 = "Not Selected", 0, 0, TRUE)</f>
        <v>1</v>
      </c>
      <c r="G36" cm="1">
        <f t="array" ref="G36">_xlfn.IFS('Form responses 1'!G36 = "Selected", 1, 'Form responses 1'!G36 = "Not Selected", 0, 0, TRUE)</f>
        <v>0</v>
      </c>
      <c r="H36" cm="1">
        <f t="array" ref="H36">_xlfn.IFS('Form responses 1'!H36 = "Selected", 1, 'Form responses 1'!H36 = "Not Selected", 0, 0, TRUE)</f>
        <v>0</v>
      </c>
      <c r="I36" cm="1">
        <f t="array" ref="I36">_xlfn.IFS('Form responses 1'!I36 = "Selected", 1, 'Form responses 1'!I36 = "Not Selected", 0, 0, TRUE)</f>
        <v>0</v>
      </c>
      <c r="J36" cm="1">
        <f t="array" ref="J36">_xlfn.IFS('Form responses 1'!J36 = "Selected", 1, 'Form responses 1'!J36 = "Not Selected", 0, 0, TRUE)</f>
        <v>1</v>
      </c>
      <c r="K36" cm="1">
        <f t="array" ref="K36">_xlfn.IFS('Form responses 1'!K36 = "Selected", 1, 'Form responses 1'!K36 = "Not Selected", 0, 0, TRUE)</f>
        <v>1</v>
      </c>
      <c r="L36" cm="1">
        <f t="array" ref="L36">_xlfn.IFS('Form responses 1'!L36 = "Selected", 1, 'Form responses 1'!L36 = "Not Selected", 0, 0, TRUE)</f>
        <v>1</v>
      </c>
      <c r="M36" cm="1">
        <f t="array" ref="M36">_xlfn.IFS('Form responses 1'!M36 = "Selected", 1, 'Form responses 1'!M36 = "Not Selected", 0, 0, TRUE)</f>
        <v>0</v>
      </c>
      <c r="N36" cm="1">
        <f t="array" ref="N36">_xlfn.IFS('Form responses 1'!N36 = "Selected", 1, 'Form responses 1'!N36 = "Not Selected", 0, 0, TRUE)</f>
        <v>0</v>
      </c>
      <c r="O36" cm="1">
        <f t="array" ref="O36">_xlfn.IFS('Form responses 1'!O36 = "Yes", 1, 'Form responses 1'!O36 = "No", 2, 0, TRUE)</f>
        <v>1</v>
      </c>
      <c r="P36" cm="1">
        <f t="array" ref="P36">_xlfn.IFS('Form responses 1'!P36 = "Yes", 1, 'Form responses 1'!P36 = "No", 2, 'Form responses 1'!P36 = "Not sure", 3, 0, TRUE)</f>
        <v>2</v>
      </c>
      <c r="Q36" cm="1">
        <f t="array" ref="Q36">_xlfn.IFS('Form responses 1'!Q36 = "Yes", 1, 'Form responses 1'!Q36 = "No", 2, 0, TRUE)</f>
        <v>2</v>
      </c>
      <c r="R36" cm="1">
        <f t="array" ref="R36">_xlfn.IFS('Form responses 1'!R36 = "Yes", 1, 'Form responses 1'!R36 = "No", 2, 0, TRUE)</f>
        <v>2</v>
      </c>
      <c r="S36" cm="1">
        <f t="array" ref="S36">_xlfn.IFS('Form responses 1'!S36 = "Severely embarrassed", 1, 'Form responses 1'!S36 = "Somewhat uncomfortable", 2, 'Form responses 1'!S36= "Not affected", 3, 'Form responses 1'!S36= "Indifferent", 4, 0, TRUE)</f>
        <v>3</v>
      </c>
      <c r="T36" cm="1">
        <f t="array" ref="T36">_xlfn.IFS('Form responses 1'!T36 = "Yes", 1, 'Form responses 1'!T36 = "No", 2, 'Form responses 1'!T36 = "Not sure", 3, 0, TRUE)</f>
        <v>2</v>
      </c>
      <c r="U36" cm="1">
        <f t="array" ref="U36">_xlfn.IFS('Form responses 1'!U36 = "Strongly agree", 1, 'Form responses 1'!U36 = "Agree", 2, 'Form responses 1'!U36 = "Neutral", 3, 'Form responses 1'!U36 = "Disagree", 4, 0, TRUE)</f>
        <v>1</v>
      </c>
      <c r="V36" cm="1">
        <f t="array" ref="V36">_xlfn.IFS('Form responses 1'!V36 = "Selected", 1, 'Form responses 1'!V36 = "Not Selected", 0, 0, TRUE)</f>
        <v>1</v>
      </c>
      <c r="W36" cm="1">
        <f t="array" ref="W36">_xlfn.IFS('Form responses 1'!W36 = "Selected", 1, 'Form responses 1'!W36 = "Not Selected", 0, 0, TRUE)</f>
        <v>0</v>
      </c>
      <c r="X36" cm="1">
        <f t="array" ref="X36">_xlfn.IFS('Form responses 1'!X36 = "Selected", 1, 'Form responses 1'!X36 = "Not Selected", 0, 0, TRUE)</f>
        <v>0</v>
      </c>
      <c r="Y36" cm="1">
        <f t="array" ref="Y36">_xlfn.IFS('Form responses 1'!Y36 = "Selected", 1, 'Form responses 1'!Y36 = "Not Selected", 0, 0, TRUE)</f>
        <v>0</v>
      </c>
      <c r="Z36" cm="1">
        <f t="array" ref="Z36">_xlfn.IFS('Form responses 1'!Z36 = "Selected", 1, 'Form responses 1'!Z36 = "Not Selected", 0, 0, TRUE)</f>
        <v>1</v>
      </c>
      <c r="AA36" cm="1">
        <f t="array" ref="AA36">_xlfn.IFS('Form responses 1'!AA36 = "Very effective", 1, 'Form responses 1'!AA36 = "Somewhat effective", 2, 'Form responses 1'!AA36 = "Not effective", 3, 'Form responses 1'!AA36 = "Made it worse", 4, 0, TRUE)</f>
        <v>1</v>
      </c>
      <c r="AB36" cm="1">
        <f t="array" ref="AB36">_xlfn.IFS('Form responses 1'!AB36 = "Yes", 1, 'Form responses 1'!AB36 = "No", 2, 'Form responses 1'!AB36 = "Not sure", 3, 0, TRUE)</f>
        <v>1</v>
      </c>
      <c r="AC36" cm="1">
        <f t="array" ref="AC36">_xlfn.IFS('Form responses 1'!AC36 = "Yes", 1, 'Form responses 1'!AC36 = "No", 2, 0, TRUE)</f>
        <v>2</v>
      </c>
    </row>
    <row r="37" spans="1:29" x14ac:dyDescent="0.2">
      <c r="A37" cm="1">
        <f t="array" ref="A37">_xlfn.IFS('Form responses 1'!A37 = "18-24 years", 1, 'Form responses 1'!A37 = "25-34 years", 2, 'Form responses 1'!A37= "35-44 years", 3, 'Form responses 1'!A37= "45-54 years", 4, 'Form responses 1'!A37= "55-64 years", 5, 'Form responses 1'!A37= "65 &amp; above", 6, 0, TRUE)</f>
        <v>1</v>
      </c>
      <c r="B37" cm="1">
        <f t="array" ref="B37">_xlfn.IFS('Form responses 1'!B37 = "Female", 1, 'Form responses 1'!B37 = "Male", 2, 0, TRUE)</f>
        <v>1</v>
      </c>
      <c r="C37" t="s">
        <v>62</v>
      </c>
      <c r="D37" cm="1">
        <f t="array" ref="D37">_xlfn.IFS('Form responses 1'!D37 = "Once", 1, 'Form responses 1'!D37 = "Twice", 2, 'Form responses 1'!D37= "More than twice", 3, 'Form responses 1'!D37= "Occasionally", 4, 0, TRUE)</f>
        <v>2</v>
      </c>
      <c r="E37" cm="1">
        <f t="array" ref="E37">_xlfn.IFS('Form responses 1'!E37 = "Selected", 1, 'Form responses 1'!E37 = "Not Selected", 0, 0, TRUE)</f>
        <v>1</v>
      </c>
      <c r="F37" cm="1">
        <f t="array" ref="F37">_xlfn.IFS('Form responses 1'!F37 = "Selected", 1, 'Form responses 1'!F37 = "Not Selected", 0, 0, TRUE)</f>
        <v>1</v>
      </c>
      <c r="G37" cm="1">
        <f t="array" ref="G37">_xlfn.IFS('Form responses 1'!G37 = "Selected", 1, 'Form responses 1'!G37 = "Not Selected", 0, 0, TRUE)</f>
        <v>0</v>
      </c>
      <c r="H37" cm="1">
        <f t="array" ref="H37">_xlfn.IFS('Form responses 1'!H37 = "Selected", 1, 'Form responses 1'!H37 = "Not Selected", 0, 0, TRUE)</f>
        <v>0</v>
      </c>
      <c r="I37" cm="1">
        <f t="array" ref="I37">_xlfn.IFS('Form responses 1'!I37 = "Selected", 1, 'Form responses 1'!I37 = "Not Selected", 0, 0, TRUE)</f>
        <v>0</v>
      </c>
      <c r="J37" cm="1">
        <f t="array" ref="J37">_xlfn.IFS('Form responses 1'!J37 = "Selected", 1, 'Form responses 1'!J37 = "Not Selected", 0, 0, TRUE)</f>
        <v>1</v>
      </c>
      <c r="K37" cm="1">
        <f t="array" ref="K37">_xlfn.IFS('Form responses 1'!K37 = "Selected", 1, 'Form responses 1'!K37 = "Not Selected", 0, 0, TRUE)</f>
        <v>1</v>
      </c>
      <c r="L37" cm="1">
        <f t="array" ref="L37">_xlfn.IFS('Form responses 1'!L37 = "Selected", 1, 'Form responses 1'!L37 = "Not Selected", 0, 0, TRUE)</f>
        <v>0</v>
      </c>
      <c r="M37" cm="1">
        <f t="array" ref="M37">_xlfn.IFS('Form responses 1'!M37 = "Selected", 1, 'Form responses 1'!M37 = "Not Selected", 0, 0, TRUE)</f>
        <v>0</v>
      </c>
      <c r="N37" cm="1">
        <f t="array" ref="N37">_xlfn.IFS('Form responses 1'!N37 = "Selected", 1, 'Form responses 1'!N37 = "Not Selected", 0, 0, TRUE)</f>
        <v>1</v>
      </c>
      <c r="O37" cm="1">
        <f t="array" ref="O37">_xlfn.IFS('Form responses 1'!O37 = "Yes", 1, 'Form responses 1'!O37 = "No", 2, 0, TRUE)</f>
        <v>2</v>
      </c>
      <c r="P37" cm="1">
        <f t="array" ref="P37">_xlfn.IFS('Form responses 1'!P37 = "Yes", 1, 'Form responses 1'!P37 = "No", 2, 'Form responses 1'!P37 = "Not sure", 3, 0, TRUE)</f>
        <v>2</v>
      </c>
      <c r="Q37" cm="1">
        <f t="array" ref="Q37">_xlfn.IFS('Form responses 1'!Q37 = "Yes", 1, 'Form responses 1'!Q37 = "No", 2, 0, TRUE)</f>
        <v>1</v>
      </c>
      <c r="R37" cm="1">
        <f t="array" ref="R37">_xlfn.IFS('Form responses 1'!R37 = "Yes", 1, 'Form responses 1'!R37 = "No", 2, 0, TRUE)</f>
        <v>2</v>
      </c>
      <c r="S37" cm="1">
        <f t="array" ref="S37">_xlfn.IFS('Form responses 1'!S37 = "Severely embarrassed", 1, 'Form responses 1'!S37 = "Somewhat uncomfortable", 2, 'Form responses 1'!S37= "Not affected", 3, 'Form responses 1'!S37= "Indifferent", 4, 0, TRUE)</f>
        <v>3</v>
      </c>
      <c r="T37" cm="1">
        <f t="array" ref="T37">_xlfn.IFS('Form responses 1'!T37 = "Yes", 1, 'Form responses 1'!T37 = "No", 2, 'Form responses 1'!T37 = "Not sure", 3, 0, TRUE)</f>
        <v>1</v>
      </c>
      <c r="U37" cm="1">
        <f t="array" ref="U37">_xlfn.IFS('Form responses 1'!U37 = "Strongly agree", 1, 'Form responses 1'!U37 = "Agree", 2, 'Form responses 1'!U37 = "Neutral", 3, 'Form responses 1'!U37 = "Disagree", 4, 0, TRUE)</f>
        <v>1</v>
      </c>
      <c r="V37" cm="1">
        <f t="array" ref="V37">_xlfn.IFS('Form responses 1'!V37 = "Selected", 1, 'Form responses 1'!V37 = "Not Selected", 0, 0, TRUE)</f>
        <v>1</v>
      </c>
      <c r="W37" cm="1">
        <f t="array" ref="W37">_xlfn.IFS('Form responses 1'!W37 = "Selected", 1, 'Form responses 1'!W37 = "Not Selected", 0, 0, TRUE)</f>
        <v>0</v>
      </c>
      <c r="X37" cm="1">
        <f t="array" ref="X37">_xlfn.IFS('Form responses 1'!X37 = "Selected", 1, 'Form responses 1'!X37 = "Not Selected", 0, 0, TRUE)</f>
        <v>0</v>
      </c>
      <c r="Y37" cm="1">
        <f t="array" ref="Y37">_xlfn.IFS('Form responses 1'!Y37 = "Selected", 1, 'Form responses 1'!Y37 = "Not Selected", 0, 0, TRUE)</f>
        <v>0</v>
      </c>
      <c r="Z37" cm="1">
        <f t="array" ref="Z37">_xlfn.IFS('Form responses 1'!Z37 = "Selected", 1, 'Form responses 1'!Z37 = "Not Selected", 0, 0, TRUE)</f>
        <v>1</v>
      </c>
      <c r="AA37" cm="1">
        <f t="array" ref="AA37">_xlfn.IFS('Form responses 1'!AA37 = "Very effective", 1, 'Form responses 1'!AA37 = "Somewhat effective", 2, 'Form responses 1'!AA37 = "Not effective", 3, 'Form responses 1'!AA37 = "Made it worse", 4, 0, TRUE)</f>
        <v>1</v>
      </c>
      <c r="AB37" cm="1">
        <f t="array" ref="AB37">_xlfn.IFS('Form responses 1'!AB37 = "Yes", 1, 'Form responses 1'!AB37 = "No", 2, 'Form responses 1'!AB37 = "Not sure", 3, 0, TRUE)</f>
        <v>1</v>
      </c>
      <c r="AC37" cm="1">
        <f t="array" ref="AC37">_xlfn.IFS('Form responses 1'!AC37 = "Yes", 1, 'Form responses 1'!AC37 = "No", 2, 0, TRUE)</f>
        <v>1</v>
      </c>
    </row>
    <row r="38" spans="1:29" x14ac:dyDescent="0.2">
      <c r="A38" cm="1">
        <f t="array" ref="A38">_xlfn.IFS('Form responses 1'!A38 = "18-24 years", 1, 'Form responses 1'!A38 = "25-34 years", 2, 'Form responses 1'!A38= "35-44 years", 3, 'Form responses 1'!A38= "45-54 years", 4, 'Form responses 1'!A38= "55-64 years", 5, 'Form responses 1'!A38= "65 &amp; above", 6, 0, TRUE)</f>
        <v>1</v>
      </c>
      <c r="B38" cm="1">
        <f t="array" ref="B38">_xlfn.IFS('Form responses 1'!B38 = "Female", 1, 'Form responses 1'!B38 = "Male", 2, 0, TRUE)</f>
        <v>2</v>
      </c>
      <c r="C38" t="s">
        <v>30</v>
      </c>
      <c r="D38" cm="1">
        <f t="array" ref="D38">_xlfn.IFS('Form responses 1'!D38 = "Once", 1, 'Form responses 1'!D38 = "Twice", 2, 'Form responses 1'!D38= "More than twice", 3, 'Form responses 1'!D38= "Occasionally", 4, 0, TRUE)</f>
        <v>2</v>
      </c>
      <c r="E38" cm="1">
        <f t="array" ref="E38">_xlfn.IFS('Form responses 1'!E38 = "Selected", 1, 'Form responses 1'!E38 = "Not Selected", 0, 0, TRUE)</f>
        <v>1</v>
      </c>
      <c r="F38" cm="1">
        <f t="array" ref="F38">_xlfn.IFS('Form responses 1'!F38 = "Selected", 1, 'Form responses 1'!F38 = "Not Selected", 0, 0, TRUE)</f>
        <v>1</v>
      </c>
      <c r="G38" cm="1">
        <f t="array" ref="G38">_xlfn.IFS('Form responses 1'!G38 = "Selected", 1, 'Form responses 1'!G38 = "Not Selected", 0, 0, TRUE)</f>
        <v>0</v>
      </c>
      <c r="H38" cm="1">
        <f t="array" ref="H38">_xlfn.IFS('Form responses 1'!H38 = "Selected", 1, 'Form responses 1'!H38 = "Not Selected", 0, 0, TRUE)</f>
        <v>0</v>
      </c>
      <c r="I38" cm="1">
        <f t="array" ref="I38">_xlfn.IFS('Form responses 1'!I38 = "Selected", 1, 'Form responses 1'!I38 = "Not Selected", 0, 0, TRUE)</f>
        <v>0</v>
      </c>
      <c r="J38" cm="1">
        <f t="array" ref="J38">_xlfn.IFS('Form responses 1'!J38 = "Selected", 1, 'Form responses 1'!J38 = "Not Selected", 0, 0, TRUE)</f>
        <v>1</v>
      </c>
      <c r="K38" cm="1">
        <f t="array" ref="K38">_xlfn.IFS('Form responses 1'!K38 = "Selected", 1, 'Form responses 1'!K38 = "Not Selected", 0, 0, TRUE)</f>
        <v>0</v>
      </c>
      <c r="L38" cm="1">
        <f t="array" ref="L38">_xlfn.IFS('Form responses 1'!L38 = "Selected", 1, 'Form responses 1'!L38 = "Not Selected", 0, 0, TRUE)</f>
        <v>0</v>
      </c>
      <c r="M38" cm="1">
        <f t="array" ref="M38">_xlfn.IFS('Form responses 1'!M38 = "Selected", 1, 'Form responses 1'!M38 = "Not Selected", 0, 0, TRUE)</f>
        <v>1</v>
      </c>
      <c r="N38" cm="1">
        <f t="array" ref="N38">_xlfn.IFS('Form responses 1'!N38 = "Selected", 1, 'Form responses 1'!N38 = "Not Selected", 0, 0, TRUE)</f>
        <v>0</v>
      </c>
      <c r="O38" cm="1">
        <f t="array" ref="O38">_xlfn.IFS('Form responses 1'!O38 = "Yes", 1, 'Form responses 1'!O38 = "No", 2, 0, TRUE)</f>
        <v>2</v>
      </c>
      <c r="P38" cm="1">
        <f t="array" ref="P38">_xlfn.IFS('Form responses 1'!P38 = "Yes", 1, 'Form responses 1'!P38 = "No", 2, 'Form responses 1'!P38 = "Not sure", 3, 0, TRUE)</f>
        <v>2</v>
      </c>
      <c r="Q38" cm="1">
        <f t="array" ref="Q38">_xlfn.IFS('Form responses 1'!Q38 = "Yes", 1, 'Form responses 1'!Q38 = "No", 2, 0, TRUE)</f>
        <v>1</v>
      </c>
      <c r="R38" cm="1">
        <f t="array" ref="R38">_xlfn.IFS('Form responses 1'!R38 = "Yes", 1, 'Form responses 1'!R38 = "No", 2, 0, TRUE)</f>
        <v>2</v>
      </c>
      <c r="S38" cm="1">
        <f t="array" ref="S38">_xlfn.IFS('Form responses 1'!S38 = "Severely embarrassed", 1, 'Form responses 1'!S38 = "Somewhat uncomfortable", 2, 'Form responses 1'!S38= "Not affected", 3, 'Form responses 1'!S38= "Indifferent", 4, 0, TRUE)</f>
        <v>3</v>
      </c>
      <c r="T38" cm="1">
        <f t="array" ref="T38">_xlfn.IFS('Form responses 1'!T38 = "Yes", 1, 'Form responses 1'!T38 = "No", 2, 'Form responses 1'!T38 = "Not sure", 3, 0, TRUE)</f>
        <v>2</v>
      </c>
      <c r="U38" cm="1">
        <f t="array" ref="U38">_xlfn.IFS('Form responses 1'!U38 = "Strongly agree", 1, 'Form responses 1'!U38 = "Agree", 2, 'Form responses 1'!U38 = "Neutral", 3, 'Form responses 1'!U38 = "Disagree", 4, 0, TRUE)</f>
        <v>1</v>
      </c>
      <c r="V38" cm="1">
        <f t="array" ref="V38">_xlfn.IFS('Form responses 1'!V38 = "Selected", 1, 'Form responses 1'!V38 = "Not Selected", 0, 0, TRUE)</f>
        <v>0</v>
      </c>
      <c r="W38" cm="1">
        <f t="array" ref="W38">_xlfn.IFS('Form responses 1'!W38 = "Selected", 1, 'Form responses 1'!W38 = "Not Selected", 0, 0, TRUE)</f>
        <v>0</v>
      </c>
      <c r="X38" cm="1">
        <f t="array" ref="X38">_xlfn.IFS('Form responses 1'!X38 = "Selected", 1, 'Form responses 1'!X38 = "Not Selected", 0, 0, TRUE)</f>
        <v>0</v>
      </c>
      <c r="Y38" cm="1">
        <f t="array" ref="Y38">_xlfn.IFS('Form responses 1'!Y38 = "Selected", 1, 'Form responses 1'!Y38 = "Not Selected", 0, 0, TRUE)</f>
        <v>0</v>
      </c>
      <c r="Z38" cm="1">
        <f t="array" ref="Z38">_xlfn.IFS('Form responses 1'!Z38 = "Selected", 1, 'Form responses 1'!Z38 = "Not Selected", 0, 0, TRUE)</f>
        <v>1</v>
      </c>
      <c r="AA38" cm="1">
        <f t="array" ref="AA38">_xlfn.IFS('Form responses 1'!AA38 = "Very effective", 1, 'Form responses 1'!AA38 = "Somewhat effective", 2, 'Form responses 1'!AA38 = "Not effective", 3, 'Form responses 1'!AA38 = "Made it worse", 4, 0, TRUE)</f>
        <v>2</v>
      </c>
      <c r="AB38" cm="1">
        <f t="array" ref="AB38">_xlfn.IFS('Form responses 1'!AB38 = "Yes", 1, 'Form responses 1'!AB38 = "No", 2, 'Form responses 1'!AB38 = "Not sure", 3, 0, TRUE)</f>
        <v>1</v>
      </c>
      <c r="AC38" cm="1">
        <f t="array" ref="AC38">_xlfn.IFS('Form responses 1'!AC38 = "Yes", 1, 'Form responses 1'!AC38 = "No", 2, 0, TRUE)</f>
        <v>1</v>
      </c>
    </row>
    <row r="39" spans="1:29" x14ac:dyDescent="0.2">
      <c r="A39" cm="1">
        <f t="array" ref="A39">_xlfn.IFS('Form responses 1'!A39 = "18-24 years", 1, 'Form responses 1'!A39 = "25-34 years", 2, 'Form responses 1'!A39= "35-44 years", 3, 'Form responses 1'!A39= "45-54 years", 4, 'Form responses 1'!A39= "55-64 years", 5, 'Form responses 1'!A39= "65 &amp; above", 6, 0, TRUE)</f>
        <v>2</v>
      </c>
      <c r="B39" cm="1">
        <f t="array" ref="B39">_xlfn.IFS('Form responses 1'!B39 = "Female", 1, 'Form responses 1'!B39 = "Male", 2, 0, TRUE)</f>
        <v>1</v>
      </c>
      <c r="C39" t="s">
        <v>50</v>
      </c>
      <c r="D39" cm="1">
        <f t="array" ref="D39">_xlfn.IFS('Form responses 1'!D39 = "Once", 1, 'Form responses 1'!D39 = "Twice", 2, 'Form responses 1'!D39= "More than twice", 3, 'Form responses 1'!D39= "Occasionally", 4, 0, TRUE)</f>
        <v>2</v>
      </c>
      <c r="E39" cm="1">
        <f t="array" ref="E39">_xlfn.IFS('Form responses 1'!E39 = "Selected", 1, 'Form responses 1'!E39 = "Not Selected", 0, 0, TRUE)</f>
        <v>1</v>
      </c>
      <c r="F39" cm="1">
        <f t="array" ref="F39">_xlfn.IFS('Form responses 1'!F39 = "Selected", 1, 'Form responses 1'!F39 = "Not Selected", 0, 0, TRUE)</f>
        <v>1</v>
      </c>
      <c r="G39" cm="1">
        <f t="array" ref="G39">_xlfn.IFS('Form responses 1'!G39 = "Selected", 1, 'Form responses 1'!G39 = "Not Selected", 0, 0, TRUE)</f>
        <v>0</v>
      </c>
      <c r="H39" cm="1">
        <f t="array" ref="H39">_xlfn.IFS('Form responses 1'!H39 = "Selected", 1, 'Form responses 1'!H39 = "Not Selected", 0, 0, TRUE)</f>
        <v>0</v>
      </c>
      <c r="I39" cm="1">
        <f t="array" ref="I39">_xlfn.IFS('Form responses 1'!I39 = "Selected", 1, 'Form responses 1'!I39 = "Not Selected", 0, 0, TRUE)</f>
        <v>0</v>
      </c>
      <c r="J39" cm="1">
        <f t="array" ref="J39">_xlfn.IFS('Form responses 1'!J39 = "Selected", 1, 'Form responses 1'!J39 = "Not Selected", 0, 0, TRUE)</f>
        <v>1</v>
      </c>
      <c r="K39" cm="1">
        <f t="array" ref="K39">_xlfn.IFS('Form responses 1'!K39 = "Selected", 1, 'Form responses 1'!K39 = "Not Selected", 0, 0, TRUE)</f>
        <v>1</v>
      </c>
      <c r="L39" cm="1">
        <f t="array" ref="L39">_xlfn.IFS('Form responses 1'!L39 = "Selected", 1, 'Form responses 1'!L39 = "Not Selected", 0, 0, TRUE)</f>
        <v>1</v>
      </c>
      <c r="M39" cm="1">
        <f t="array" ref="M39">_xlfn.IFS('Form responses 1'!M39 = "Selected", 1, 'Form responses 1'!M39 = "Not Selected", 0, 0, TRUE)</f>
        <v>1</v>
      </c>
      <c r="N39" cm="1">
        <f t="array" ref="N39">_xlfn.IFS('Form responses 1'!N39 = "Selected", 1, 'Form responses 1'!N39 = "Not Selected", 0, 0, TRUE)</f>
        <v>1</v>
      </c>
      <c r="O39" cm="1">
        <f t="array" ref="O39">_xlfn.IFS('Form responses 1'!O39 = "Yes", 1, 'Form responses 1'!O39 = "No", 2, 0, TRUE)</f>
        <v>2</v>
      </c>
      <c r="P39" cm="1">
        <f t="array" ref="P39">_xlfn.IFS('Form responses 1'!P39 = "Yes", 1, 'Form responses 1'!P39 = "No", 2, 'Form responses 1'!P39 = "Not sure", 3, 0, TRUE)</f>
        <v>2</v>
      </c>
      <c r="Q39" cm="1">
        <f t="array" ref="Q39">_xlfn.IFS('Form responses 1'!Q39 = "Yes", 1, 'Form responses 1'!Q39 = "No", 2, 0, TRUE)</f>
        <v>2</v>
      </c>
      <c r="R39" cm="1">
        <f t="array" ref="R39">_xlfn.IFS('Form responses 1'!R39 = "Yes", 1, 'Form responses 1'!R39 = "No", 2, 0, TRUE)</f>
        <v>2</v>
      </c>
      <c r="S39" cm="1">
        <f t="array" ref="S39">_xlfn.IFS('Form responses 1'!S39 = "Severely embarrassed", 1, 'Form responses 1'!S39 = "Somewhat uncomfortable", 2, 'Form responses 1'!S39= "Not affected", 3, 'Form responses 1'!S39= "Indifferent", 4, 0, TRUE)</f>
        <v>3</v>
      </c>
      <c r="T39" cm="1">
        <f t="array" ref="T39">_xlfn.IFS('Form responses 1'!T39 = "Yes", 1, 'Form responses 1'!T39 = "No", 2, 'Form responses 1'!T39 = "Not sure", 3, 0, TRUE)</f>
        <v>2</v>
      </c>
      <c r="U39" cm="1">
        <f t="array" ref="U39">_xlfn.IFS('Form responses 1'!U39 = "Strongly agree", 1, 'Form responses 1'!U39 = "Agree", 2, 'Form responses 1'!U39 = "Neutral", 3, 'Form responses 1'!U39 = "Disagree", 4, 0, TRUE)</f>
        <v>1</v>
      </c>
      <c r="V39" cm="1">
        <f t="array" ref="V39">_xlfn.IFS('Form responses 1'!V39 = "Selected", 1, 'Form responses 1'!V39 = "Not Selected", 0, 0, TRUE)</f>
        <v>1</v>
      </c>
      <c r="W39" cm="1">
        <f t="array" ref="W39">_xlfn.IFS('Form responses 1'!W39 = "Selected", 1, 'Form responses 1'!W39 = "Not Selected", 0, 0, TRUE)</f>
        <v>1</v>
      </c>
      <c r="X39" cm="1">
        <f t="array" ref="X39">_xlfn.IFS('Form responses 1'!X39 = "Selected", 1, 'Form responses 1'!X39 = "Not Selected", 0, 0, TRUE)</f>
        <v>0</v>
      </c>
      <c r="Y39" cm="1">
        <f t="array" ref="Y39">_xlfn.IFS('Form responses 1'!Y39 = "Selected", 1, 'Form responses 1'!Y39 = "Not Selected", 0, 0, TRUE)</f>
        <v>0</v>
      </c>
      <c r="Z39" cm="1">
        <f t="array" ref="Z39">_xlfn.IFS('Form responses 1'!Z39 = "Selected", 1, 'Form responses 1'!Z39 = "Not Selected", 0, 0, TRUE)</f>
        <v>1</v>
      </c>
      <c r="AA39" cm="1">
        <f t="array" ref="AA39">_xlfn.IFS('Form responses 1'!AA39 = "Very effective", 1, 'Form responses 1'!AA39 = "Somewhat effective", 2, 'Form responses 1'!AA39 = "Not effective", 3, 'Form responses 1'!AA39 = "Made it worse", 4, 0, TRUE)</f>
        <v>1</v>
      </c>
      <c r="AB39" cm="1">
        <f t="array" ref="AB39">_xlfn.IFS('Form responses 1'!AB39 = "Yes", 1, 'Form responses 1'!AB39 = "No", 2, 'Form responses 1'!AB39 = "Not sure", 3, 0, TRUE)</f>
        <v>1</v>
      </c>
      <c r="AC39" cm="1">
        <f t="array" ref="AC39">_xlfn.IFS('Form responses 1'!AC39 = "Yes", 1, 'Form responses 1'!AC39 = "No", 2, 0, TRUE)</f>
        <v>1</v>
      </c>
    </row>
    <row r="40" spans="1:29" x14ac:dyDescent="0.2">
      <c r="A40" cm="1">
        <f t="array" ref="A40">_xlfn.IFS('Form responses 1'!A40 = "18-24 years", 1, 'Form responses 1'!A40 = "25-34 years", 2, 'Form responses 1'!A40= "35-44 years", 3, 'Form responses 1'!A40= "45-54 years", 4, 'Form responses 1'!A40= "55-64 years", 5, 'Form responses 1'!A40= "65 &amp; above", 6, 0, TRUE)</f>
        <v>2</v>
      </c>
      <c r="B40" cm="1">
        <f t="array" ref="B40">_xlfn.IFS('Form responses 1'!B40 = "Female", 1, 'Form responses 1'!B40 = "Male", 2, 0, TRUE)</f>
        <v>1</v>
      </c>
      <c r="C40" t="s">
        <v>62</v>
      </c>
      <c r="D40" cm="1">
        <f t="array" ref="D40">_xlfn.IFS('Form responses 1'!D40 = "Once", 1, 'Form responses 1'!D40 = "Twice", 2, 'Form responses 1'!D40= "More than twice", 3, 'Form responses 1'!D40= "Occasionally", 4, 0, TRUE)</f>
        <v>2</v>
      </c>
      <c r="E40" cm="1">
        <f t="array" ref="E40">_xlfn.IFS('Form responses 1'!E40 = "Selected", 1, 'Form responses 1'!E40 = "Not Selected", 0, 0, TRUE)</f>
        <v>0</v>
      </c>
      <c r="F40" cm="1">
        <f t="array" ref="F40">_xlfn.IFS('Form responses 1'!F40 = "Selected", 1, 'Form responses 1'!F40 = "Not Selected", 0, 0, TRUE)</f>
        <v>1</v>
      </c>
      <c r="G40" cm="1">
        <f t="array" ref="G40">_xlfn.IFS('Form responses 1'!G40 = "Selected", 1, 'Form responses 1'!G40 = "Not Selected", 0, 0, TRUE)</f>
        <v>0</v>
      </c>
      <c r="H40" cm="1">
        <f t="array" ref="H40">_xlfn.IFS('Form responses 1'!H40 = "Selected", 1, 'Form responses 1'!H40 = "Not Selected", 0, 0, TRUE)</f>
        <v>0</v>
      </c>
      <c r="I40" cm="1">
        <f t="array" ref="I40">_xlfn.IFS('Form responses 1'!I40 = "Selected", 1, 'Form responses 1'!I40 = "Not Selected", 0, 0, TRUE)</f>
        <v>0</v>
      </c>
      <c r="J40" cm="1">
        <f t="array" ref="J40">_xlfn.IFS('Form responses 1'!J40 = "Selected", 1, 'Form responses 1'!J40 = "Not Selected", 0, 0, TRUE)</f>
        <v>1</v>
      </c>
      <c r="K40" cm="1">
        <f t="array" ref="K40">_xlfn.IFS('Form responses 1'!K40 = "Selected", 1, 'Form responses 1'!K40 = "Not Selected", 0, 0, TRUE)</f>
        <v>0</v>
      </c>
      <c r="L40" cm="1">
        <f t="array" ref="L40">_xlfn.IFS('Form responses 1'!L40 = "Selected", 1, 'Form responses 1'!L40 = "Not Selected", 0, 0, TRUE)</f>
        <v>0</v>
      </c>
      <c r="M40" cm="1">
        <f t="array" ref="M40">_xlfn.IFS('Form responses 1'!M40 = "Selected", 1, 'Form responses 1'!M40 = "Not Selected", 0, 0, TRUE)</f>
        <v>0</v>
      </c>
      <c r="N40" cm="1">
        <f t="array" ref="N40">_xlfn.IFS('Form responses 1'!N40 = "Selected", 1, 'Form responses 1'!N40 = "Not Selected", 0, 0, TRUE)</f>
        <v>0</v>
      </c>
      <c r="O40" cm="1">
        <f t="array" ref="O40">_xlfn.IFS('Form responses 1'!O40 = "Yes", 1, 'Form responses 1'!O40 = "No", 2, 0, TRUE)</f>
        <v>2</v>
      </c>
      <c r="P40" cm="1">
        <f t="array" ref="P40">_xlfn.IFS('Form responses 1'!P40 = "Yes", 1, 'Form responses 1'!P40 = "No", 2, 'Form responses 1'!P40 = "Not sure", 3, 0, TRUE)</f>
        <v>2</v>
      </c>
      <c r="Q40" cm="1">
        <f t="array" ref="Q40">_xlfn.IFS('Form responses 1'!Q40 = "Yes", 1, 'Form responses 1'!Q40 = "No", 2, 0, TRUE)</f>
        <v>1</v>
      </c>
      <c r="R40" cm="1">
        <f t="array" ref="R40">_xlfn.IFS('Form responses 1'!R40 = "Yes", 1, 'Form responses 1'!R40 = "No", 2, 0, TRUE)</f>
        <v>1</v>
      </c>
      <c r="S40" cm="1">
        <f t="array" ref="S40">_xlfn.IFS('Form responses 1'!S40 = "Severely embarrassed", 1, 'Form responses 1'!S40 = "Somewhat uncomfortable", 2, 'Form responses 1'!S40= "Not affected", 3, 'Form responses 1'!S40= "Indifferent", 4, 0, TRUE)</f>
        <v>2</v>
      </c>
      <c r="T40" cm="1">
        <f t="array" ref="T40">_xlfn.IFS('Form responses 1'!T40 = "Yes", 1, 'Form responses 1'!T40 = "No", 2, 'Form responses 1'!T40 = "Not sure", 3, 0, TRUE)</f>
        <v>2</v>
      </c>
      <c r="U40" cm="1">
        <f t="array" ref="U40">_xlfn.IFS('Form responses 1'!U40 = "Strongly agree", 1, 'Form responses 1'!U40 = "Agree", 2, 'Form responses 1'!U40 = "Neutral", 3, 'Form responses 1'!U40 = "Disagree", 4, 0, TRUE)</f>
        <v>2</v>
      </c>
      <c r="V40" cm="1">
        <f t="array" ref="V40">_xlfn.IFS('Form responses 1'!V40 = "Selected", 1, 'Form responses 1'!V40 = "Not Selected", 0, 0, TRUE)</f>
        <v>1</v>
      </c>
      <c r="W40" cm="1">
        <f t="array" ref="W40">_xlfn.IFS('Form responses 1'!W40 = "Selected", 1, 'Form responses 1'!W40 = "Not Selected", 0, 0, TRUE)</f>
        <v>0</v>
      </c>
      <c r="X40" cm="1">
        <f t="array" ref="X40">_xlfn.IFS('Form responses 1'!X40 = "Selected", 1, 'Form responses 1'!X40 = "Not Selected", 0, 0, TRUE)</f>
        <v>0</v>
      </c>
      <c r="Y40" cm="1">
        <f t="array" ref="Y40">_xlfn.IFS('Form responses 1'!Y40 = "Selected", 1, 'Form responses 1'!Y40 = "Not Selected", 0, 0, TRUE)</f>
        <v>0</v>
      </c>
      <c r="Z40" cm="1">
        <f t="array" ref="Z40">_xlfn.IFS('Form responses 1'!Z40 = "Selected", 1, 'Form responses 1'!Z40 = "Not Selected", 0, 0, TRUE)</f>
        <v>0</v>
      </c>
      <c r="AA40" cm="1">
        <f t="array" ref="AA40">_xlfn.IFS('Form responses 1'!AA40 = "Very effective", 1, 'Form responses 1'!AA40 = "Somewhat effective", 2, 'Form responses 1'!AA40 = "Not effective", 3, 'Form responses 1'!AA40 = "Made it worse", 4, 0, TRUE)</f>
        <v>1</v>
      </c>
      <c r="AB40" cm="1">
        <f t="array" ref="AB40">_xlfn.IFS('Form responses 1'!AB40 = "Yes", 1, 'Form responses 1'!AB40 = "No", 2, 'Form responses 1'!AB40 = "Not sure", 3, 0, TRUE)</f>
        <v>1</v>
      </c>
      <c r="AC40" cm="1">
        <f t="array" ref="AC40">_xlfn.IFS('Form responses 1'!AC40 = "Yes", 1, 'Form responses 1'!AC40 = "No", 2, 0, TRUE)</f>
        <v>1</v>
      </c>
    </row>
    <row r="41" spans="1:29" x14ac:dyDescent="0.2">
      <c r="A41" cm="1">
        <f t="array" ref="A41">_xlfn.IFS('Form responses 1'!A41 = "18-24 years", 1, 'Form responses 1'!A41 = "25-34 years", 2, 'Form responses 1'!A41= "35-44 years", 3, 'Form responses 1'!A41= "45-54 years", 4, 'Form responses 1'!A41= "55-64 years", 5, 'Form responses 1'!A41= "65 &amp; above", 6, 0, TRUE)</f>
        <v>2</v>
      </c>
      <c r="B41" cm="1">
        <f t="array" ref="B41">_xlfn.IFS('Form responses 1'!B41 = "Female", 1, 'Form responses 1'!B41 = "Male", 2, 0, TRUE)</f>
        <v>1</v>
      </c>
      <c r="C41" t="s">
        <v>64</v>
      </c>
      <c r="D41" cm="1">
        <f t="array" ref="D41">_xlfn.IFS('Form responses 1'!D41 = "Once", 1, 'Form responses 1'!D41 = "Twice", 2, 'Form responses 1'!D41= "More than twice", 3, 'Form responses 1'!D41= "Occasionally", 4, 0, TRUE)</f>
        <v>2</v>
      </c>
      <c r="E41" cm="1">
        <f t="array" ref="E41">_xlfn.IFS('Form responses 1'!E41 = "Selected", 1, 'Form responses 1'!E41 = "Not Selected", 0, 0, TRUE)</f>
        <v>0</v>
      </c>
      <c r="F41" cm="1">
        <f t="array" ref="F41">_xlfn.IFS('Form responses 1'!F41 = "Selected", 1, 'Form responses 1'!F41 = "Not Selected", 0, 0, TRUE)</f>
        <v>1</v>
      </c>
      <c r="G41" cm="1">
        <f t="array" ref="G41">_xlfn.IFS('Form responses 1'!G41 = "Selected", 1, 'Form responses 1'!G41 = "Not Selected", 0, 0, TRUE)</f>
        <v>0</v>
      </c>
      <c r="H41" cm="1">
        <f t="array" ref="H41">_xlfn.IFS('Form responses 1'!H41 = "Selected", 1, 'Form responses 1'!H41 = "Not Selected", 0, 0, TRUE)</f>
        <v>0</v>
      </c>
      <c r="I41" cm="1">
        <f t="array" ref="I41">_xlfn.IFS('Form responses 1'!I41 = "Selected", 1, 'Form responses 1'!I41 = "Not Selected", 0, 0, TRUE)</f>
        <v>0</v>
      </c>
      <c r="J41" cm="1">
        <f t="array" ref="J41">_xlfn.IFS('Form responses 1'!J41 = "Selected", 1, 'Form responses 1'!J41 = "Not Selected", 0, 0, TRUE)</f>
        <v>0</v>
      </c>
      <c r="K41" cm="1">
        <f t="array" ref="K41">_xlfn.IFS('Form responses 1'!K41 = "Selected", 1, 'Form responses 1'!K41 = "Not Selected", 0, 0, TRUE)</f>
        <v>1</v>
      </c>
      <c r="L41" cm="1">
        <f t="array" ref="L41">_xlfn.IFS('Form responses 1'!L41 = "Selected", 1, 'Form responses 1'!L41 = "Not Selected", 0, 0, TRUE)</f>
        <v>0</v>
      </c>
      <c r="M41" cm="1">
        <f t="array" ref="M41">_xlfn.IFS('Form responses 1'!M41 = "Selected", 1, 'Form responses 1'!M41 = "Not Selected", 0, 0, TRUE)</f>
        <v>0</v>
      </c>
      <c r="N41" cm="1">
        <f t="array" ref="N41">_xlfn.IFS('Form responses 1'!N41 = "Selected", 1, 'Form responses 1'!N41 = "Not Selected", 0, 0, TRUE)</f>
        <v>1</v>
      </c>
      <c r="O41" cm="1">
        <f t="array" ref="O41">_xlfn.IFS('Form responses 1'!O41 = "Yes", 1, 'Form responses 1'!O41 = "No", 2, 0, TRUE)</f>
        <v>2</v>
      </c>
      <c r="P41" cm="1">
        <f t="array" ref="P41">_xlfn.IFS('Form responses 1'!P41 = "Yes", 1, 'Form responses 1'!P41 = "No", 2, 'Form responses 1'!P41 = "Not sure", 3, 0, TRUE)</f>
        <v>2</v>
      </c>
      <c r="Q41" cm="1">
        <f t="array" ref="Q41">_xlfn.IFS('Form responses 1'!Q41 = "Yes", 1, 'Form responses 1'!Q41 = "No", 2, 0, TRUE)</f>
        <v>2</v>
      </c>
      <c r="R41" cm="1">
        <f t="array" ref="R41">_xlfn.IFS('Form responses 1'!R41 = "Yes", 1, 'Form responses 1'!R41 = "No", 2, 0, TRUE)</f>
        <v>2</v>
      </c>
      <c r="S41" cm="1">
        <f t="array" ref="S41">_xlfn.IFS('Form responses 1'!S41 = "Severely embarrassed", 1, 'Form responses 1'!S41 = "Somewhat uncomfortable", 2, 'Form responses 1'!S41= "Not affected", 3, 'Form responses 1'!S41= "Indifferent", 4, 0, TRUE)</f>
        <v>3</v>
      </c>
      <c r="T41" cm="1">
        <f t="array" ref="T41">_xlfn.IFS('Form responses 1'!T41 = "Yes", 1, 'Form responses 1'!T41 = "No", 2, 'Form responses 1'!T41 = "Not sure", 3, 0, TRUE)</f>
        <v>2</v>
      </c>
      <c r="U41" cm="1">
        <f t="array" ref="U41">_xlfn.IFS('Form responses 1'!U41 = "Strongly agree", 1, 'Form responses 1'!U41 = "Agree", 2, 'Form responses 1'!U41 = "Neutral", 3, 'Form responses 1'!U41 = "Disagree", 4, 0, TRUE)</f>
        <v>1</v>
      </c>
      <c r="V41" cm="1">
        <f t="array" ref="V41">_xlfn.IFS('Form responses 1'!V41 = "Selected", 1, 'Form responses 1'!V41 = "Not Selected", 0, 0, TRUE)</f>
        <v>0</v>
      </c>
      <c r="W41" cm="1">
        <f t="array" ref="W41">_xlfn.IFS('Form responses 1'!W41 = "Selected", 1, 'Form responses 1'!W41 = "Not Selected", 0, 0, TRUE)</f>
        <v>0</v>
      </c>
      <c r="X41" cm="1">
        <f t="array" ref="X41">_xlfn.IFS('Form responses 1'!X41 = "Selected", 1, 'Form responses 1'!X41 = "Not Selected", 0, 0, TRUE)</f>
        <v>0</v>
      </c>
      <c r="Y41" cm="1">
        <f t="array" ref="Y41">_xlfn.IFS('Form responses 1'!Y41 = "Selected", 1, 'Form responses 1'!Y41 = "Not Selected", 0, 0, TRUE)</f>
        <v>0</v>
      </c>
      <c r="Z41" cm="1">
        <f t="array" ref="Z41">_xlfn.IFS('Form responses 1'!Z41 = "Selected", 1, 'Form responses 1'!Z41 = "Not Selected", 0, 0, TRUE)</f>
        <v>1</v>
      </c>
      <c r="AA41" cm="1">
        <f t="array" ref="AA41">_xlfn.IFS('Form responses 1'!AA41 = "Very effective", 1, 'Form responses 1'!AA41 = "Somewhat effective", 2, 'Form responses 1'!AA41 = "Not effective", 3, 'Form responses 1'!AA41 = "Made it worse", 4, 0, TRUE)</f>
        <v>1</v>
      </c>
      <c r="AB41" cm="1">
        <f t="array" ref="AB41">_xlfn.IFS('Form responses 1'!AB41 = "Yes", 1, 'Form responses 1'!AB41 = "No", 2, 'Form responses 1'!AB41 = "Not sure", 3, 0, TRUE)</f>
        <v>1</v>
      </c>
      <c r="AC41" cm="1">
        <f t="array" ref="AC41">_xlfn.IFS('Form responses 1'!AC41 = "Yes", 1, 'Form responses 1'!AC41 = "No", 2, 0, TRUE)</f>
        <v>1</v>
      </c>
    </row>
    <row r="42" spans="1:29" x14ac:dyDescent="0.2">
      <c r="A42" cm="1">
        <f t="array" ref="A42">_xlfn.IFS('Form responses 1'!A42 = "18-24 years", 1, 'Form responses 1'!A42 = "25-34 years", 2, 'Form responses 1'!A42= "35-44 years", 3, 'Form responses 1'!A42= "45-54 years", 4, 'Form responses 1'!A42= "55-64 years", 5, 'Form responses 1'!A42= "65 &amp; above", 6, 0, TRUE)</f>
        <v>1</v>
      </c>
      <c r="B42" cm="1">
        <f t="array" ref="B42">_xlfn.IFS('Form responses 1'!B42 = "Female", 1, 'Form responses 1'!B42 = "Male", 2, 0, TRUE)</f>
        <v>1</v>
      </c>
      <c r="C42" t="s">
        <v>35</v>
      </c>
      <c r="D42" cm="1">
        <f t="array" ref="D42">_xlfn.IFS('Form responses 1'!D42 = "Once", 1, 'Form responses 1'!D42 = "Twice", 2, 'Form responses 1'!D42= "More than twice", 3, 'Form responses 1'!D42= "Occasionally", 4, 0, TRUE)</f>
        <v>1</v>
      </c>
      <c r="E42" cm="1">
        <f t="array" ref="E42">_xlfn.IFS('Form responses 1'!E42 = "Selected", 1, 'Form responses 1'!E42 = "Not Selected", 0, 0, TRUE)</f>
        <v>1</v>
      </c>
      <c r="F42" cm="1">
        <f t="array" ref="F42">_xlfn.IFS('Form responses 1'!F42 = "Selected", 1, 'Form responses 1'!F42 = "Not Selected", 0, 0, TRUE)</f>
        <v>1</v>
      </c>
      <c r="G42" cm="1">
        <f t="array" ref="G42">_xlfn.IFS('Form responses 1'!G42 = "Selected", 1, 'Form responses 1'!G42 = "Not Selected", 0, 0, TRUE)</f>
        <v>0</v>
      </c>
      <c r="H42" cm="1">
        <f t="array" ref="H42">_xlfn.IFS('Form responses 1'!H42 = "Selected", 1, 'Form responses 1'!H42 = "Not Selected", 0, 0, TRUE)</f>
        <v>0</v>
      </c>
      <c r="I42" cm="1">
        <f t="array" ref="I42">_xlfn.IFS('Form responses 1'!I42 = "Selected", 1, 'Form responses 1'!I42 = "Not Selected", 0, 0, TRUE)</f>
        <v>0</v>
      </c>
      <c r="J42" cm="1">
        <f t="array" ref="J42">_xlfn.IFS('Form responses 1'!J42 = "Selected", 1, 'Form responses 1'!J42 = "Not Selected", 0, 0, TRUE)</f>
        <v>1</v>
      </c>
      <c r="K42" cm="1">
        <f t="array" ref="K42">_xlfn.IFS('Form responses 1'!K42 = "Selected", 1, 'Form responses 1'!K42 = "Not Selected", 0, 0, TRUE)</f>
        <v>0</v>
      </c>
      <c r="L42" cm="1">
        <f t="array" ref="L42">_xlfn.IFS('Form responses 1'!L42 = "Selected", 1, 'Form responses 1'!L42 = "Not Selected", 0, 0, TRUE)</f>
        <v>0</v>
      </c>
      <c r="M42" cm="1">
        <f t="array" ref="M42">_xlfn.IFS('Form responses 1'!M42 = "Selected", 1, 'Form responses 1'!M42 = "Not Selected", 0, 0, TRUE)</f>
        <v>0</v>
      </c>
      <c r="N42" cm="1">
        <f t="array" ref="N42">_xlfn.IFS('Form responses 1'!N42 = "Selected", 1, 'Form responses 1'!N42 = "Not Selected", 0, 0, TRUE)</f>
        <v>1</v>
      </c>
      <c r="O42" cm="1">
        <f t="array" ref="O42">_xlfn.IFS('Form responses 1'!O42 = "Yes", 1, 'Form responses 1'!O42 = "No", 2, 0, TRUE)</f>
        <v>2</v>
      </c>
      <c r="P42" cm="1">
        <f t="array" ref="P42">_xlfn.IFS('Form responses 1'!P42 = "Yes", 1, 'Form responses 1'!P42 = "No", 2, 'Form responses 1'!P42 = "Not sure", 3, 0, TRUE)</f>
        <v>1</v>
      </c>
      <c r="Q42" cm="1">
        <f t="array" ref="Q42">_xlfn.IFS('Form responses 1'!Q42 = "Yes", 1, 'Form responses 1'!Q42 = "No", 2, 0, TRUE)</f>
        <v>2</v>
      </c>
      <c r="R42" cm="1">
        <f t="array" ref="R42">_xlfn.IFS('Form responses 1'!R42 = "Yes", 1, 'Form responses 1'!R42 = "No", 2, 0, TRUE)</f>
        <v>1</v>
      </c>
      <c r="S42" cm="1">
        <f t="array" ref="S42">_xlfn.IFS('Form responses 1'!S42 = "Severely embarrassed", 1, 'Form responses 1'!S42 = "Somewhat uncomfortable", 2, 'Form responses 1'!S42= "Not affected", 3, 'Form responses 1'!S42= "Indifferent", 4, 0, TRUE)</f>
        <v>2</v>
      </c>
      <c r="T42" cm="1">
        <f t="array" ref="T42">_xlfn.IFS('Form responses 1'!T42 = "Yes", 1, 'Form responses 1'!T42 = "No", 2, 'Form responses 1'!T42 = "Not sure", 3, 0, TRUE)</f>
        <v>1</v>
      </c>
      <c r="U42" cm="1">
        <f t="array" ref="U42">_xlfn.IFS('Form responses 1'!U42 = "Strongly agree", 1, 'Form responses 1'!U42 = "Agree", 2, 'Form responses 1'!U42 = "Neutral", 3, 'Form responses 1'!U42 = "Disagree", 4, 0, TRUE)</f>
        <v>1</v>
      </c>
      <c r="V42" cm="1">
        <f t="array" ref="V42">_xlfn.IFS('Form responses 1'!V42 = "Selected", 1, 'Form responses 1'!V42 = "Not Selected", 0, 0, TRUE)</f>
        <v>1</v>
      </c>
      <c r="W42" cm="1">
        <f t="array" ref="W42">_xlfn.IFS('Form responses 1'!W42 = "Selected", 1, 'Form responses 1'!W42 = "Not Selected", 0, 0, TRUE)</f>
        <v>0</v>
      </c>
      <c r="X42" cm="1">
        <f t="array" ref="X42">_xlfn.IFS('Form responses 1'!X42 = "Selected", 1, 'Form responses 1'!X42 = "Not Selected", 0, 0, TRUE)</f>
        <v>0</v>
      </c>
      <c r="Y42" cm="1">
        <f t="array" ref="Y42">_xlfn.IFS('Form responses 1'!Y42 = "Selected", 1, 'Form responses 1'!Y42 = "Not Selected", 0, 0, TRUE)</f>
        <v>0</v>
      </c>
      <c r="Z42" cm="1">
        <f t="array" ref="Z42">_xlfn.IFS('Form responses 1'!Z42 = "Selected", 1, 'Form responses 1'!Z42 = "Not Selected", 0, 0, TRUE)</f>
        <v>1</v>
      </c>
      <c r="AA42" cm="1">
        <f t="array" ref="AA42">_xlfn.IFS('Form responses 1'!AA42 = "Very effective", 1, 'Form responses 1'!AA42 = "Somewhat effective", 2, 'Form responses 1'!AA42 = "Not effective", 3, 'Form responses 1'!AA42 = "Made it worse", 4, 0, TRUE)</f>
        <v>1</v>
      </c>
      <c r="AB42" cm="1">
        <f t="array" ref="AB42">_xlfn.IFS('Form responses 1'!AB42 = "Yes", 1, 'Form responses 1'!AB42 = "No", 2, 'Form responses 1'!AB42 = "Not sure", 3, 0, TRUE)</f>
        <v>1</v>
      </c>
      <c r="AC42" cm="1">
        <f t="array" ref="AC42">_xlfn.IFS('Form responses 1'!AC42 = "Yes", 1, 'Form responses 1'!AC42 = "No", 2, 0, TRUE)</f>
        <v>1</v>
      </c>
    </row>
    <row r="43" spans="1:29" x14ac:dyDescent="0.2">
      <c r="A43" cm="1">
        <f t="array" ref="A43">_xlfn.IFS('Form responses 1'!A43 = "18-24 years", 1, 'Form responses 1'!A43 = "25-34 years", 2, 'Form responses 1'!A43= "35-44 years", 3, 'Form responses 1'!A43= "45-54 years", 4, 'Form responses 1'!A43= "55-64 years", 5, 'Form responses 1'!A43= "65 &amp; above", 6, 0, TRUE)</f>
        <v>3</v>
      </c>
      <c r="B43" cm="1">
        <f t="array" ref="B43">_xlfn.IFS('Form responses 1'!B43 = "Female", 1, 'Form responses 1'!B43 = "Male", 2, 0, TRUE)</f>
        <v>1</v>
      </c>
      <c r="C43" t="s">
        <v>65</v>
      </c>
      <c r="D43" cm="1">
        <f t="array" ref="D43">_xlfn.IFS('Form responses 1'!D43 = "Once", 1, 'Form responses 1'!D43 = "Twice", 2, 'Form responses 1'!D43= "More than twice", 3, 'Form responses 1'!D43= "Occasionally", 4, 0, TRUE)</f>
        <v>2</v>
      </c>
      <c r="E43" cm="1">
        <f t="array" ref="E43">_xlfn.IFS('Form responses 1'!E43 = "Selected", 1, 'Form responses 1'!E43 = "Not Selected", 0, 0, TRUE)</f>
        <v>0</v>
      </c>
      <c r="F43" cm="1">
        <f t="array" ref="F43">_xlfn.IFS('Form responses 1'!F43 = "Selected", 1, 'Form responses 1'!F43 = "Not Selected", 0, 0, TRUE)</f>
        <v>1</v>
      </c>
      <c r="G43" cm="1">
        <f t="array" ref="G43">_xlfn.IFS('Form responses 1'!G43 = "Selected", 1, 'Form responses 1'!G43 = "Not Selected", 0, 0, TRUE)</f>
        <v>0</v>
      </c>
      <c r="H43" cm="1">
        <f t="array" ref="H43">_xlfn.IFS('Form responses 1'!H43 = "Selected", 1, 'Form responses 1'!H43 = "Not Selected", 0, 0, TRUE)</f>
        <v>0</v>
      </c>
      <c r="I43" cm="1">
        <f t="array" ref="I43">_xlfn.IFS('Form responses 1'!I43 = "Selected", 1, 'Form responses 1'!I43 = "Not Selected", 0, 0, TRUE)</f>
        <v>0</v>
      </c>
      <c r="J43" cm="1">
        <f t="array" ref="J43">_xlfn.IFS('Form responses 1'!J43 = "Selected", 1, 'Form responses 1'!J43 = "Not Selected", 0, 0, TRUE)</f>
        <v>1</v>
      </c>
      <c r="K43" cm="1">
        <f t="array" ref="K43">_xlfn.IFS('Form responses 1'!K43 = "Selected", 1, 'Form responses 1'!K43 = "Not Selected", 0, 0, TRUE)</f>
        <v>1</v>
      </c>
      <c r="L43" cm="1">
        <f t="array" ref="L43">_xlfn.IFS('Form responses 1'!L43 = "Selected", 1, 'Form responses 1'!L43 = "Not Selected", 0, 0, TRUE)</f>
        <v>0</v>
      </c>
      <c r="M43" cm="1">
        <f t="array" ref="M43">_xlfn.IFS('Form responses 1'!M43 = "Selected", 1, 'Form responses 1'!M43 = "Not Selected", 0, 0, TRUE)</f>
        <v>0</v>
      </c>
      <c r="N43" cm="1">
        <f t="array" ref="N43">_xlfn.IFS('Form responses 1'!N43 = "Selected", 1, 'Form responses 1'!N43 = "Not Selected", 0, 0, TRUE)</f>
        <v>1</v>
      </c>
      <c r="O43" cm="1">
        <f t="array" ref="O43">_xlfn.IFS('Form responses 1'!O43 = "Yes", 1, 'Form responses 1'!O43 = "No", 2, 0, TRUE)</f>
        <v>2</v>
      </c>
      <c r="P43" cm="1">
        <f t="array" ref="P43">_xlfn.IFS('Form responses 1'!P43 = "Yes", 1, 'Form responses 1'!P43 = "No", 2, 'Form responses 1'!P43 = "Not sure", 3, 0, TRUE)</f>
        <v>2</v>
      </c>
      <c r="Q43" cm="1">
        <f t="array" ref="Q43">_xlfn.IFS('Form responses 1'!Q43 = "Yes", 1, 'Form responses 1'!Q43 = "No", 2, 0, TRUE)</f>
        <v>2</v>
      </c>
      <c r="R43" cm="1">
        <f t="array" ref="R43">_xlfn.IFS('Form responses 1'!R43 = "Yes", 1, 'Form responses 1'!R43 = "No", 2, 0, TRUE)</f>
        <v>2</v>
      </c>
      <c r="S43" cm="1">
        <f t="array" ref="S43">_xlfn.IFS('Form responses 1'!S43 = "Severely embarrassed", 1, 'Form responses 1'!S43 = "Somewhat uncomfortable", 2, 'Form responses 1'!S43= "Not affected", 3, 'Form responses 1'!S43= "Indifferent", 4, 0, TRUE)</f>
        <v>3</v>
      </c>
      <c r="T43" cm="1">
        <f t="array" ref="T43">_xlfn.IFS('Form responses 1'!T43 = "Yes", 1, 'Form responses 1'!T43 = "No", 2, 'Form responses 1'!T43 = "Not sure", 3, 0, TRUE)</f>
        <v>2</v>
      </c>
      <c r="U43" cm="1">
        <f t="array" ref="U43">_xlfn.IFS('Form responses 1'!U43 = "Strongly agree", 1, 'Form responses 1'!U43 = "Agree", 2, 'Form responses 1'!U43 = "Neutral", 3, 'Form responses 1'!U43 = "Disagree", 4, 0, TRUE)</f>
        <v>1</v>
      </c>
      <c r="V43" cm="1">
        <f t="array" ref="V43">_xlfn.IFS('Form responses 1'!V43 = "Selected", 1, 'Form responses 1'!V43 = "Not Selected", 0, 0, TRUE)</f>
        <v>1</v>
      </c>
      <c r="W43" cm="1">
        <f t="array" ref="W43">_xlfn.IFS('Form responses 1'!W43 = "Selected", 1, 'Form responses 1'!W43 = "Not Selected", 0, 0, TRUE)</f>
        <v>0</v>
      </c>
      <c r="X43" cm="1">
        <f t="array" ref="X43">_xlfn.IFS('Form responses 1'!X43 = "Selected", 1, 'Form responses 1'!X43 = "Not Selected", 0, 0, TRUE)</f>
        <v>0</v>
      </c>
      <c r="Y43" cm="1">
        <f t="array" ref="Y43">_xlfn.IFS('Form responses 1'!Y43 = "Selected", 1, 'Form responses 1'!Y43 = "Not Selected", 0, 0, TRUE)</f>
        <v>0</v>
      </c>
      <c r="Z43" cm="1">
        <f t="array" ref="Z43">_xlfn.IFS('Form responses 1'!Z43 = "Selected", 1, 'Form responses 1'!Z43 = "Not Selected", 0, 0, TRUE)</f>
        <v>1</v>
      </c>
      <c r="AA43" cm="1">
        <f t="array" ref="AA43">_xlfn.IFS('Form responses 1'!AA43 = "Very effective", 1, 'Form responses 1'!AA43 = "Somewhat effective", 2, 'Form responses 1'!AA43 = "Not effective", 3, 'Form responses 1'!AA43 = "Made it worse", 4, 0, TRUE)</f>
        <v>1</v>
      </c>
      <c r="AB43" cm="1">
        <f t="array" ref="AB43">_xlfn.IFS('Form responses 1'!AB43 = "Yes", 1, 'Form responses 1'!AB43 = "No", 2, 'Form responses 1'!AB43 = "Not sure", 3, 0, TRUE)</f>
        <v>1</v>
      </c>
      <c r="AC43" cm="1">
        <f t="array" ref="AC43">_xlfn.IFS('Form responses 1'!AC43 = "Yes", 1, 'Form responses 1'!AC43 = "No", 2, 0, TRUE)</f>
        <v>1</v>
      </c>
    </row>
    <row r="44" spans="1:29" x14ac:dyDescent="0.2">
      <c r="A44" cm="1">
        <f t="array" ref="A44">_xlfn.IFS('Form responses 1'!A44 = "18-24 years", 1, 'Form responses 1'!A44 = "25-34 years", 2, 'Form responses 1'!A44= "35-44 years", 3, 'Form responses 1'!A44= "45-54 years", 4, 'Form responses 1'!A44= "55-64 years", 5, 'Form responses 1'!A44= "65 &amp; above", 6, 0, TRUE)</f>
        <v>2</v>
      </c>
      <c r="B44" cm="1">
        <f t="array" ref="B44">_xlfn.IFS('Form responses 1'!B44 = "Female", 1, 'Form responses 1'!B44 = "Male", 2, 0, TRUE)</f>
        <v>2</v>
      </c>
      <c r="C44" t="s">
        <v>51</v>
      </c>
      <c r="D44" cm="1">
        <f t="array" ref="D44">_xlfn.IFS('Form responses 1'!D44 = "Once", 1, 'Form responses 1'!D44 = "Twice", 2, 'Form responses 1'!D44= "More than twice", 3, 'Form responses 1'!D44= "Occasionally", 4, 0, TRUE)</f>
        <v>2</v>
      </c>
      <c r="E44" cm="1">
        <f t="array" ref="E44">_xlfn.IFS('Form responses 1'!E44 = "Selected", 1, 'Form responses 1'!E44 = "Not Selected", 0, 0, TRUE)</f>
        <v>0</v>
      </c>
      <c r="F44" cm="1">
        <f t="array" ref="F44">_xlfn.IFS('Form responses 1'!F44 = "Selected", 1, 'Form responses 1'!F44 = "Not Selected", 0, 0, TRUE)</f>
        <v>1</v>
      </c>
      <c r="G44" cm="1">
        <f t="array" ref="G44">_xlfn.IFS('Form responses 1'!G44 = "Selected", 1, 'Form responses 1'!G44 = "Not Selected", 0, 0, TRUE)</f>
        <v>0</v>
      </c>
      <c r="H44" cm="1">
        <f t="array" ref="H44">_xlfn.IFS('Form responses 1'!H44 = "Selected", 1, 'Form responses 1'!H44 = "Not Selected", 0, 0, TRUE)</f>
        <v>1</v>
      </c>
      <c r="I44" cm="1">
        <f t="array" ref="I44">_xlfn.IFS('Form responses 1'!I44 = "Selected", 1, 'Form responses 1'!I44 = "Not Selected", 0, 0, TRUE)</f>
        <v>0</v>
      </c>
      <c r="J44" cm="1">
        <f t="array" ref="J44">_xlfn.IFS('Form responses 1'!J44 = "Selected", 1, 'Form responses 1'!J44 = "Not Selected", 0, 0, TRUE)</f>
        <v>1</v>
      </c>
      <c r="K44" cm="1">
        <f t="array" ref="K44">_xlfn.IFS('Form responses 1'!K44 = "Selected", 1, 'Form responses 1'!K44 = "Not Selected", 0, 0, TRUE)</f>
        <v>0</v>
      </c>
      <c r="L44" cm="1">
        <f t="array" ref="L44">_xlfn.IFS('Form responses 1'!L44 = "Selected", 1, 'Form responses 1'!L44 = "Not Selected", 0, 0, TRUE)</f>
        <v>0</v>
      </c>
      <c r="M44" cm="1">
        <f t="array" ref="M44">_xlfn.IFS('Form responses 1'!M44 = "Selected", 1, 'Form responses 1'!M44 = "Not Selected", 0, 0, TRUE)</f>
        <v>0</v>
      </c>
      <c r="N44" cm="1">
        <f t="array" ref="N44">_xlfn.IFS('Form responses 1'!N44 = "Selected", 1, 'Form responses 1'!N44 = "Not Selected", 0, 0, TRUE)</f>
        <v>0</v>
      </c>
      <c r="O44" cm="1">
        <f t="array" ref="O44">_xlfn.IFS('Form responses 1'!O44 = "Yes", 1, 'Form responses 1'!O44 = "No", 2, 0, TRUE)</f>
        <v>1</v>
      </c>
      <c r="P44" cm="1">
        <f t="array" ref="P44">_xlfn.IFS('Form responses 1'!P44 = "Yes", 1, 'Form responses 1'!P44 = "No", 2, 'Form responses 1'!P44 = "Not sure", 3, 0, TRUE)</f>
        <v>3</v>
      </c>
      <c r="Q44" cm="1">
        <f t="array" ref="Q44">_xlfn.IFS('Form responses 1'!Q44 = "Yes", 1, 'Form responses 1'!Q44 = "No", 2, 0, TRUE)</f>
        <v>2</v>
      </c>
      <c r="R44" cm="1">
        <f t="array" ref="R44">_xlfn.IFS('Form responses 1'!R44 = "Yes", 1, 'Form responses 1'!R44 = "No", 2, 0, TRUE)</f>
        <v>2</v>
      </c>
      <c r="S44" cm="1">
        <f t="array" ref="S44">_xlfn.IFS('Form responses 1'!S44 = "Severely embarrassed", 1, 'Form responses 1'!S44 = "Somewhat uncomfortable", 2, 'Form responses 1'!S44= "Not affected", 3, 'Form responses 1'!S44= "Indifferent", 4, 0, TRUE)</f>
        <v>3</v>
      </c>
      <c r="T44" cm="1">
        <f t="array" ref="T44">_xlfn.IFS('Form responses 1'!T44 = "Yes", 1, 'Form responses 1'!T44 = "No", 2, 'Form responses 1'!T44 = "Not sure", 3, 0, TRUE)</f>
        <v>2</v>
      </c>
      <c r="U44" cm="1">
        <f t="array" ref="U44">_xlfn.IFS('Form responses 1'!U44 = "Strongly agree", 1, 'Form responses 1'!U44 = "Agree", 2, 'Form responses 1'!U44 = "Neutral", 3, 'Form responses 1'!U44 = "Disagree", 4, 0, TRUE)</f>
        <v>3</v>
      </c>
      <c r="V44" cm="1">
        <f t="array" ref="V44">_xlfn.IFS('Form responses 1'!V44 = "Selected", 1, 'Form responses 1'!V44 = "Not Selected", 0, 0, TRUE)</f>
        <v>1</v>
      </c>
      <c r="W44" cm="1">
        <f t="array" ref="W44">_xlfn.IFS('Form responses 1'!W44 = "Selected", 1, 'Form responses 1'!W44 = "Not Selected", 0, 0, TRUE)</f>
        <v>1</v>
      </c>
      <c r="X44" cm="1">
        <f t="array" ref="X44">_xlfn.IFS('Form responses 1'!X44 = "Selected", 1, 'Form responses 1'!X44 = "Not Selected", 0, 0, TRUE)</f>
        <v>0</v>
      </c>
      <c r="Y44" cm="1">
        <f t="array" ref="Y44">_xlfn.IFS('Form responses 1'!Y44 = "Selected", 1, 'Form responses 1'!Y44 = "Not Selected", 0, 0, TRUE)</f>
        <v>0</v>
      </c>
      <c r="Z44" cm="1">
        <f t="array" ref="Z44">_xlfn.IFS('Form responses 1'!Z44 = "Selected", 1, 'Form responses 1'!Z44 = "Not Selected", 0, 0, TRUE)</f>
        <v>1</v>
      </c>
      <c r="AA44" cm="1">
        <f t="array" ref="AA44">_xlfn.IFS('Form responses 1'!AA44 = "Very effective", 1, 'Form responses 1'!AA44 = "Somewhat effective", 2, 'Form responses 1'!AA44 = "Not effective", 3, 'Form responses 1'!AA44 = "Made it worse", 4, 0, TRUE)</f>
        <v>1</v>
      </c>
      <c r="AB44" cm="1">
        <f t="array" ref="AB44">_xlfn.IFS('Form responses 1'!AB44 = "Yes", 1, 'Form responses 1'!AB44 = "No", 2, 'Form responses 1'!AB44 = "Not sure", 3, 0, TRUE)</f>
        <v>3</v>
      </c>
      <c r="AC44" cm="1">
        <f t="array" ref="AC44">_xlfn.IFS('Form responses 1'!AC44 = "Yes", 1, 'Form responses 1'!AC44 = "No", 2, 0, TRUE)</f>
        <v>1</v>
      </c>
    </row>
    <row r="45" spans="1:29" x14ac:dyDescent="0.2">
      <c r="A45" cm="1">
        <f t="array" ref="A45">_xlfn.IFS('Form responses 1'!A45 = "18-24 years", 1, 'Form responses 1'!A45 = "25-34 years", 2, 'Form responses 1'!A45= "35-44 years", 3, 'Form responses 1'!A45= "45-54 years", 4, 'Form responses 1'!A45= "55-64 years", 5, 'Form responses 1'!A45= "65 &amp; above", 6, 0, TRUE)</f>
        <v>2</v>
      </c>
      <c r="B45" cm="1">
        <f t="array" ref="B45">_xlfn.IFS('Form responses 1'!B45 = "Female", 1, 'Form responses 1'!B45 = "Male", 2, 0, TRUE)</f>
        <v>1</v>
      </c>
      <c r="C45" t="s">
        <v>62</v>
      </c>
      <c r="D45" cm="1">
        <f t="array" ref="D45">_xlfn.IFS('Form responses 1'!D45 = "Once", 1, 'Form responses 1'!D45 = "Twice", 2, 'Form responses 1'!D45= "More than twice", 3, 'Form responses 1'!D45= "Occasionally", 4, 0, TRUE)</f>
        <v>2</v>
      </c>
      <c r="E45" cm="1">
        <f t="array" ref="E45">_xlfn.IFS('Form responses 1'!E45 = "Selected", 1, 'Form responses 1'!E45 = "Not Selected", 0, 0, TRUE)</f>
        <v>1</v>
      </c>
      <c r="F45" cm="1">
        <f t="array" ref="F45">_xlfn.IFS('Form responses 1'!F45 = "Selected", 1, 'Form responses 1'!F45 = "Not Selected", 0, 0, TRUE)</f>
        <v>1</v>
      </c>
      <c r="G45" cm="1">
        <f t="array" ref="G45">_xlfn.IFS('Form responses 1'!G45 = "Selected", 1, 'Form responses 1'!G45 = "Not Selected", 0, 0, TRUE)</f>
        <v>0</v>
      </c>
      <c r="H45" cm="1">
        <f t="array" ref="H45">_xlfn.IFS('Form responses 1'!H45 = "Selected", 1, 'Form responses 1'!H45 = "Not Selected", 0, 0, TRUE)</f>
        <v>0</v>
      </c>
      <c r="I45" cm="1">
        <f t="array" ref="I45">_xlfn.IFS('Form responses 1'!I45 = "Selected", 1, 'Form responses 1'!I45 = "Not Selected", 0, 0, TRUE)</f>
        <v>0</v>
      </c>
      <c r="J45" cm="1">
        <f t="array" ref="J45">_xlfn.IFS('Form responses 1'!J45 = "Selected", 1, 'Form responses 1'!J45 = "Not Selected", 0, 0, TRUE)</f>
        <v>1</v>
      </c>
      <c r="K45" cm="1">
        <f t="array" ref="K45">_xlfn.IFS('Form responses 1'!K45 = "Selected", 1, 'Form responses 1'!K45 = "Not Selected", 0, 0, TRUE)</f>
        <v>1</v>
      </c>
      <c r="L45" cm="1">
        <f t="array" ref="L45">_xlfn.IFS('Form responses 1'!L45 = "Selected", 1, 'Form responses 1'!L45 = "Not Selected", 0, 0, TRUE)</f>
        <v>0</v>
      </c>
      <c r="M45" cm="1">
        <f t="array" ref="M45">_xlfn.IFS('Form responses 1'!M45 = "Selected", 1, 'Form responses 1'!M45 = "Not Selected", 0, 0, TRUE)</f>
        <v>0</v>
      </c>
      <c r="N45" cm="1">
        <f t="array" ref="N45">_xlfn.IFS('Form responses 1'!N45 = "Selected", 1, 'Form responses 1'!N45 = "Not Selected", 0, 0, TRUE)</f>
        <v>1</v>
      </c>
      <c r="O45" cm="1">
        <f t="array" ref="O45">_xlfn.IFS('Form responses 1'!O45 = "Yes", 1, 'Form responses 1'!O45 = "No", 2, 0, TRUE)</f>
        <v>1</v>
      </c>
      <c r="P45" cm="1">
        <f t="array" ref="P45">_xlfn.IFS('Form responses 1'!P45 = "Yes", 1, 'Form responses 1'!P45 = "No", 2, 'Form responses 1'!P45 = "Not sure", 3, 0, TRUE)</f>
        <v>1</v>
      </c>
      <c r="Q45" cm="1">
        <f t="array" ref="Q45">_xlfn.IFS('Form responses 1'!Q45 = "Yes", 1, 'Form responses 1'!Q45 = "No", 2, 0, TRUE)</f>
        <v>2</v>
      </c>
      <c r="R45" cm="1">
        <f t="array" ref="R45">_xlfn.IFS('Form responses 1'!R45 = "Yes", 1, 'Form responses 1'!R45 = "No", 2, 0, TRUE)</f>
        <v>2</v>
      </c>
      <c r="S45" cm="1">
        <f t="array" ref="S45">_xlfn.IFS('Form responses 1'!S45 = "Severely embarrassed", 1, 'Form responses 1'!S45 = "Somewhat uncomfortable", 2, 'Form responses 1'!S45= "Not affected", 3, 'Form responses 1'!S45= "Indifferent", 4, 0, TRUE)</f>
        <v>3</v>
      </c>
      <c r="T45" cm="1">
        <f t="array" ref="T45">_xlfn.IFS('Form responses 1'!T45 = "Yes", 1, 'Form responses 1'!T45 = "No", 2, 'Form responses 1'!T45 = "Not sure", 3, 0, TRUE)</f>
        <v>1</v>
      </c>
      <c r="U45" cm="1">
        <f t="array" ref="U45">_xlfn.IFS('Form responses 1'!U45 = "Strongly agree", 1, 'Form responses 1'!U45 = "Agree", 2, 'Form responses 1'!U45 = "Neutral", 3, 'Form responses 1'!U45 = "Disagree", 4, 0, TRUE)</f>
        <v>2</v>
      </c>
      <c r="V45" cm="1">
        <f t="array" ref="V45">_xlfn.IFS('Form responses 1'!V45 = "Selected", 1, 'Form responses 1'!V45 = "Not Selected", 0, 0, TRUE)</f>
        <v>1</v>
      </c>
      <c r="W45" cm="1">
        <f t="array" ref="W45">_xlfn.IFS('Form responses 1'!W45 = "Selected", 1, 'Form responses 1'!W45 = "Not Selected", 0, 0, TRUE)</f>
        <v>1</v>
      </c>
      <c r="X45" cm="1">
        <f t="array" ref="X45">_xlfn.IFS('Form responses 1'!X45 = "Selected", 1, 'Form responses 1'!X45 = "Not Selected", 0, 0, TRUE)</f>
        <v>0</v>
      </c>
      <c r="Y45" cm="1">
        <f t="array" ref="Y45">_xlfn.IFS('Form responses 1'!Y45 = "Selected", 1, 'Form responses 1'!Y45 = "Not Selected", 0, 0, TRUE)</f>
        <v>0</v>
      </c>
      <c r="Z45" cm="1">
        <f t="array" ref="Z45">_xlfn.IFS('Form responses 1'!Z45 = "Selected", 1, 'Form responses 1'!Z45 = "Not Selected", 0, 0, TRUE)</f>
        <v>1</v>
      </c>
      <c r="AA45" cm="1">
        <f t="array" ref="AA45">_xlfn.IFS('Form responses 1'!AA45 = "Very effective", 1, 'Form responses 1'!AA45 = "Somewhat effective", 2, 'Form responses 1'!AA45 = "Not effective", 3, 'Form responses 1'!AA45 = "Made it worse", 4, 0, TRUE)</f>
        <v>1</v>
      </c>
      <c r="AB45" cm="1">
        <f t="array" ref="AB45">_xlfn.IFS('Form responses 1'!AB45 = "Yes", 1, 'Form responses 1'!AB45 = "No", 2, 'Form responses 1'!AB45 = "Not sure", 3, 0, TRUE)</f>
        <v>1</v>
      </c>
      <c r="AC45" cm="1">
        <f t="array" ref="AC45">_xlfn.IFS('Form responses 1'!AC45 = "Yes", 1, 'Form responses 1'!AC45 = "No", 2, 0, TRUE)</f>
        <v>1</v>
      </c>
    </row>
    <row r="46" spans="1:29" x14ac:dyDescent="0.2">
      <c r="A46" cm="1">
        <f t="array" ref="A46">_xlfn.IFS('Form responses 1'!A46 = "18-24 years", 1, 'Form responses 1'!A46 = "25-34 years", 2, 'Form responses 1'!A46= "35-44 years", 3, 'Form responses 1'!A46= "45-54 years", 4, 'Form responses 1'!A46= "55-64 years", 5, 'Form responses 1'!A46= "65 &amp; above", 6, 0, TRUE)</f>
        <v>2</v>
      </c>
      <c r="B46" cm="1">
        <f t="array" ref="B46">_xlfn.IFS('Form responses 1'!B46 = "Female", 1, 'Form responses 1'!B46 = "Male", 2, 0, TRUE)</f>
        <v>1</v>
      </c>
      <c r="C46" t="s">
        <v>51</v>
      </c>
      <c r="D46" cm="1">
        <f t="array" ref="D46">_xlfn.IFS('Form responses 1'!D46 = "Once", 1, 'Form responses 1'!D46 = "Twice", 2, 'Form responses 1'!D46= "More than twice", 3, 'Form responses 1'!D46= "Occasionally", 4, 0, TRUE)</f>
        <v>3</v>
      </c>
      <c r="E46" cm="1">
        <f t="array" ref="E46">_xlfn.IFS('Form responses 1'!E46 = "Selected", 1, 'Form responses 1'!E46 = "Not Selected", 0, 0, TRUE)</f>
        <v>1</v>
      </c>
      <c r="F46" cm="1">
        <f t="array" ref="F46">_xlfn.IFS('Form responses 1'!F46 = "Selected", 1, 'Form responses 1'!F46 = "Not Selected", 0, 0, TRUE)</f>
        <v>1</v>
      </c>
      <c r="G46" cm="1">
        <f t="array" ref="G46">_xlfn.IFS('Form responses 1'!G46 = "Selected", 1, 'Form responses 1'!G46 = "Not Selected", 0, 0, TRUE)</f>
        <v>0</v>
      </c>
      <c r="H46" cm="1">
        <f t="array" ref="H46">_xlfn.IFS('Form responses 1'!H46 = "Selected", 1, 'Form responses 1'!H46 = "Not Selected", 0, 0, TRUE)</f>
        <v>0</v>
      </c>
      <c r="I46" cm="1">
        <f t="array" ref="I46">_xlfn.IFS('Form responses 1'!I46 = "Selected", 1, 'Form responses 1'!I46 = "Not Selected", 0, 0, TRUE)</f>
        <v>0</v>
      </c>
      <c r="J46" cm="1">
        <f t="array" ref="J46">_xlfn.IFS('Form responses 1'!J46 = "Selected", 1, 'Form responses 1'!J46 = "Not Selected", 0, 0, TRUE)</f>
        <v>1</v>
      </c>
      <c r="K46" cm="1">
        <f t="array" ref="K46">_xlfn.IFS('Form responses 1'!K46 = "Selected", 1, 'Form responses 1'!K46 = "Not Selected", 0, 0, TRUE)</f>
        <v>1</v>
      </c>
      <c r="L46" cm="1">
        <f t="array" ref="L46">_xlfn.IFS('Form responses 1'!L46 = "Selected", 1, 'Form responses 1'!L46 = "Not Selected", 0, 0, TRUE)</f>
        <v>1</v>
      </c>
      <c r="M46" cm="1">
        <f t="array" ref="M46">_xlfn.IFS('Form responses 1'!M46 = "Selected", 1, 'Form responses 1'!M46 = "Not Selected", 0, 0, TRUE)</f>
        <v>1</v>
      </c>
      <c r="N46" cm="1">
        <f t="array" ref="N46">_xlfn.IFS('Form responses 1'!N46 = "Selected", 1, 'Form responses 1'!N46 = "Not Selected", 0, 0, TRUE)</f>
        <v>1</v>
      </c>
      <c r="O46" cm="1">
        <f t="array" ref="O46">_xlfn.IFS('Form responses 1'!O46 = "Yes", 1, 'Form responses 1'!O46 = "No", 2, 0, TRUE)</f>
        <v>2</v>
      </c>
      <c r="P46" cm="1">
        <f t="array" ref="P46">_xlfn.IFS('Form responses 1'!P46 = "Yes", 1, 'Form responses 1'!P46 = "No", 2, 'Form responses 1'!P46 = "Not sure", 3, 0, TRUE)</f>
        <v>2</v>
      </c>
      <c r="Q46" cm="1">
        <f t="array" ref="Q46">_xlfn.IFS('Form responses 1'!Q46 = "Yes", 1, 'Form responses 1'!Q46 = "No", 2, 0, TRUE)</f>
        <v>2</v>
      </c>
      <c r="R46" cm="1">
        <f t="array" ref="R46">_xlfn.IFS('Form responses 1'!R46 = "Yes", 1, 'Form responses 1'!R46 = "No", 2, 0, TRUE)</f>
        <v>2</v>
      </c>
      <c r="S46" cm="1">
        <f t="array" ref="S46">_xlfn.IFS('Form responses 1'!S46 = "Severely embarrassed", 1, 'Form responses 1'!S46 = "Somewhat uncomfortable", 2, 'Form responses 1'!S46= "Not affected", 3, 'Form responses 1'!S46= "Indifferent", 4, 0, TRUE)</f>
        <v>3</v>
      </c>
      <c r="T46" cm="1">
        <f t="array" ref="T46">_xlfn.IFS('Form responses 1'!T46 = "Yes", 1, 'Form responses 1'!T46 = "No", 2, 'Form responses 1'!T46 = "Not sure", 3, 0, TRUE)</f>
        <v>2</v>
      </c>
      <c r="U46" cm="1">
        <f t="array" ref="U46">_xlfn.IFS('Form responses 1'!U46 = "Strongly agree", 1, 'Form responses 1'!U46 = "Agree", 2, 'Form responses 1'!U46 = "Neutral", 3, 'Form responses 1'!U46 = "Disagree", 4, 0, TRUE)</f>
        <v>2</v>
      </c>
      <c r="V46" cm="1">
        <f t="array" ref="V46">_xlfn.IFS('Form responses 1'!V46 = "Selected", 1, 'Form responses 1'!V46 = "Not Selected", 0, 0, TRUE)</f>
        <v>1</v>
      </c>
      <c r="W46" cm="1">
        <f t="array" ref="W46">_xlfn.IFS('Form responses 1'!W46 = "Selected", 1, 'Form responses 1'!W46 = "Not Selected", 0, 0, TRUE)</f>
        <v>0</v>
      </c>
      <c r="X46" cm="1">
        <f t="array" ref="X46">_xlfn.IFS('Form responses 1'!X46 = "Selected", 1, 'Form responses 1'!X46 = "Not Selected", 0, 0, TRUE)</f>
        <v>0</v>
      </c>
      <c r="Y46" cm="1">
        <f t="array" ref="Y46">_xlfn.IFS('Form responses 1'!Y46 = "Selected", 1, 'Form responses 1'!Y46 = "Not Selected", 0, 0, TRUE)</f>
        <v>0</v>
      </c>
      <c r="Z46" cm="1">
        <f t="array" ref="Z46">_xlfn.IFS('Form responses 1'!Z46 = "Selected", 1, 'Form responses 1'!Z46 = "Not Selected", 0, 0, TRUE)</f>
        <v>1</v>
      </c>
      <c r="AA46" cm="1">
        <f t="array" ref="AA46">_xlfn.IFS('Form responses 1'!AA46 = "Very effective", 1, 'Form responses 1'!AA46 = "Somewhat effective", 2, 'Form responses 1'!AA46 = "Not effective", 3, 'Form responses 1'!AA46 = "Made it worse", 4, 0, TRUE)</f>
        <v>1</v>
      </c>
      <c r="AB46" cm="1">
        <f t="array" ref="AB46">_xlfn.IFS('Form responses 1'!AB46 = "Yes", 1, 'Form responses 1'!AB46 = "No", 2, 'Form responses 1'!AB46 = "Not sure", 3, 0, TRUE)</f>
        <v>1</v>
      </c>
      <c r="AC46" cm="1">
        <f t="array" ref="AC46">_xlfn.IFS('Form responses 1'!AC46 = "Yes", 1, 'Form responses 1'!AC46 = "No", 2, 0, TRUE)</f>
        <v>1</v>
      </c>
    </row>
    <row r="47" spans="1:29" x14ac:dyDescent="0.2">
      <c r="A47" cm="1">
        <f t="array" ref="A47">_xlfn.IFS('Form responses 1'!A47 = "18-24 years", 1, 'Form responses 1'!A47 = "25-34 years", 2, 'Form responses 1'!A47= "35-44 years", 3, 'Form responses 1'!A47= "45-54 years", 4, 'Form responses 1'!A47= "55-64 years", 5, 'Form responses 1'!A47= "65 &amp; above", 6, 0, TRUE)</f>
        <v>2</v>
      </c>
      <c r="B47" cm="1">
        <f t="array" ref="B47">_xlfn.IFS('Form responses 1'!B47 = "Female", 1, 'Form responses 1'!B47 = "Male", 2, 0, TRUE)</f>
        <v>1</v>
      </c>
      <c r="C47" t="s">
        <v>51</v>
      </c>
      <c r="D47" cm="1">
        <f t="array" ref="D47">_xlfn.IFS('Form responses 1'!D47 = "Once", 1, 'Form responses 1'!D47 = "Twice", 2, 'Form responses 1'!D47= "More than twice", 3, 'Form responses 1'!D47= "Occasionally", 4, 0, TRUE)</f>
        <v>3</v>
      </c>
      <c r="E47" cm="1">
        <f t="array" ref="E47">_xlfn.IFS('Form responses 1'!E47 = "Selected", 1, 'Form responses 1'!E47 = "Not Selected", 0, 0, TRUE)</f>
        <v>0</v>
      </c>
      <c r="F47" cm="1">
        <f t="array" ref="F47">_xlfn.IFS('Form responses 1'!F47 = "Selected", 1, 'Form responses 1'!F47 = "Not Selected", 0, 0, TRUE)</f>
        <v>1</v>
      </c>
      <c r="G47" cm="1">
        <f t="array" ref="G47">_xlfn.IFS('Form responses 1'!G47 = "Selected", 1, 'Form responses 1'!G47 = "Not Selected", 0, 0, TRUE)</f>
        <v>0</v>
      </c>
      <c r="H47" cm="1">
        <f t="array" ref="H47">_xlfn.IFS('Form responses 1'!H47 = "Selected", 1, 'Form responses 1'!H47 = "Not Selected", 0, 0, TRUE)</f>
        <v>0</v>
      </c>
      <c r="I47" cm="1">
        <f t="array" ref="I47">_xlfn.IFS('Form responses 1'!I47 = "Selected", 1, 'Form responses 1'!I47 = "Not Selected", 0, 0, TRUE)</f>
        <v>0</v>
      </c>
      <c r="J47" cm="1">
        <f t="array" ref="J47">_xlfn.IFS('Form responses 1'!J47 = "Selected", 1, 'Form responses 1'!J47 = "Not Selected", 0, 0, TRUE)</f>
        <v>0</v>
      </c>
      <c r="K47" cm="1">
        <f t="array" ref="K47">_xlfn.IFS('Form responses 1'!K47 = "Selected", 1, 'Form responses 1'!K47 = "Not Selected", 0, 0, TRUE)</f>
        <v>0</v>
      </c>
      <c r="L47" cm="1">
        <f t="array" ref="L47">_xlfn.IFS('Form responses 1'!L47 = "Selected", 1, 'Form responses 1'!L47 = "Not Selected", 0, 0, TRUE)</f>
        <v>1</v>
      </c>
      <c r="M47" cm="1">
        <f t="array" ref="M47">_xlfn.IFS('Form responses 1'!M47 = "Selected", 1, 'Form responses 1'!M47 = "Not Selected", 0, 0, TRUE)</f>
        <v>0</v>
      </c>
      <c r="N47" cm="1">
        <f t="array" ref="N47">_xlfn.IFS('Form responses 1'!N47 = "Selected", 1, 'Form responses 1'!N47 = "Not Selected", 0, 0, TRUE)</f>
        <v>0</v>
      </c>
      <c r="O47" cm="1">
        <f t="array" ref="O47">_xlfn.IFS('Form responses 1'!O47 = "Yes", 1, 'Form responses 1'!O47 = "No", 2, 0, TRUE)</f>
        <v>2</v>
      </c>
      <c r="P47" cm="1">
        <f t="array" ref="P47">_xlfn.IFS('Form responses 1'!P47 = "Yes", 1, 'Form responses 1'!P47 = "No", 2, 'Form responses 1'!P47 = "Not sure", 3, 0, TRUE)</f>
        <v>2</v>
      </c>
      <c r="Q47" cm="1">
        <f t="array" ref="Q47">_xlfn.IFS('Form responses 1'!Q47 = "Yes", 1, 'Form responses 1'!Q47 = "No", 2, 0, TRUE)</f>
        <v>2</v>
      </c>
      <c r="R47" cm="1">
        <f t="array" ref="R47">_xlfn.IFS('Form responses 1'!R47 = "Yes", 1, 'Form responses 1'!R47 = "No", 2, 0, TRUE)</f>
        <v>2</v>
      </c>
      <c r="S47" cm="1">
        <f t="array" ref="S47">_xlfn.IFS('Form responses 1'!S47 = "Severely embarrassed", 1, 'Form responses 1'!S47 = "Somewhat uncomfortable", 2, 'Form responses 1'!S47= "Not affected", 3, 'Form responses 1'!S47= "Indifferent", 4, 0, TRUE)</f>
        <v>3</v>
      </c>
      <c r="T47" cm="1">
        <f t="array" ref="T47">_xlfn.IFS('Form responses 1'!T47 = "Yes", 1, 'Form responses 1'!T47 = "No", 2, 'Form responses 1'!T47 = "Not sure", 3, 0, TRUE)</f>
        <v>2</v>
      </c>
      <c r="U47" cm="1">
        <f t="array" ref="U47">_xlfn.IFS('Form responses 1'!U47 = "Strongly agree", 1, 'Form responses 1'!U47 = "Agree", 2, 'Form responses 1'!U47 = "Neutral", 3, 'Form responses 1'!U47 = "Disagree", 4, 0, TRUE)</f>
        <v>1</v>
      </c>
      <c r="V47" cm="1">
        <f t="array" ref="V47">_xlfn.IFS('Form responses 1'!V47 = "Selected", 1, 'Form responses 1'!V47 = "Not Selected", 0, 0, TRUE)</f>
        <v>0</v>
      </c>
      <c r="W47" cm="1">
        <f t="array" ref="W47">_xlfn.IFS('Form responses 1'!W47 = "Selected", 1, 'Form responses 1'!W47 = "Not Selected", 0, 0, TRUE)</f>
        <v>0</v>
      </c>
      <c r="X47" cm="1">
        <f t="array" ref="X47">_xlfn.IFS('Form responses 1'!X47 = "Selected", 1, 'Form responses 1'!X47 = "Not Selected", 0, 0, TRUE)</f>
        <v>0</v>
      </c>
      <c r="Y47" cm="1">
        <f t="array" ref="Y47">_xlfn.IFS('Form responses 1'!Y47 = "Selected", 1, 'Form responses 1'!Y47 = "Not Selected", 0, 0, TRUE)</f>
        <v>0</v>
      </c>
      <c r="Z47" cm="1">
        <f t="array" ref="Z47">_xlfn.IFS('Form responses 1'!Z47 = "Selected", 1, 'Form responses 1'!Z47 = "Not Selected", 0, 0, TRUE)</f>
        <v>1</v>
      </c>
      <c r="AA47" cm="1">
        <f t="array" ref="AA47">_xlfn.IFS('Form responses 1'!AA47 = "Very effective", 1, 'Form responses 1'!AA47 = "Somewhat effective", 2, 'Form responses 1'!AA47 = "Not effective", 3, 'Form responses 1'!AA47 = "Made it worse", 4, 0, TRUE)</f>
        <v>1</v>
      </c>
      <c r="AB47" cm="1">
        <f t="array" ref="AB47">_xlfn.IFS('Form responses 1'!AB47 = "Yes", 1, 'Form responses 1'!AB47 = "No", 2, 'Form responses 1'!AB47 = "Not sure", 3, 0, TRUE)</f>
        <v>1</v>
      </c>
      <c r="AC47" cm="1">
        <f t="array" ref="AC47">_xlfn.IFS('Form responses 1'!AC47 = "Yes", 1, 'Form responses 1'!AC47 = "No", 2, 0, TRUE)</f>
        <v>1</v>
      </c>
    </row>
    <row r="48" spans="1:29" x14ac:dyDescent="0.2">
      <c r="A48" cm="1">
        <f t="array" ref="A48">_xlfn.IFS('Form responses 1'!A48 = "18-24 years", 1, 'Form responses 1'!A48 = "25-34 years", 2, 'Form responses 1'!A48= "35-44 years", 3, 'Form responses 1'!A48= "45-54 years", 4, 'Form responses 1'!A48= "55-64 years", 5, 'Form responses 1'!A48= "65 &amp; above", 6, 0, TRUE)</f>
        <v>2</v>
      </c>
      <c r="B48" cm="1">
        <f t="array" ref="B48">_xlfn.IFS('Form responses 1'!B48 = "Female", 1, 'Form responses 1'!B48 = "Male", 2, 0, TRUE)</f>
        <v>2</v>
      </c>
      <c r="C48" t="s">
        <v>57</v>
      </c>
      <c r="D48" cm="1">
        <f t="array" ref="D48">_xlfn.IFS('Form responses 1'!D48 = "Once", 1, 'Form responses 1'!D48 = "Twice", 2, 'Form responses 1'!D48= "More than twice", 3, 'Form responses 1'!D48= "Occasionally", 4, 0, TRUE)</f>
        <v>1</v>
      </c>
      <c r="E48" cm="1">
        <f t="array" ref="E48">_xlfn.IFS('Form responses 1'!E48 = "Selected", 1, 'Form responses 1'!E48 = "Not Selected", 0, 0, TRUE)</f>
        <v>0</v>
      </c>
      <c r="F48" cm="1">
        <f t="array" ref="F48">_xlfn.IFS('Form responses 1'!F48 = "Selected", 1, 'Form responses 1'!F48 = "Not Selected", 0, 0, TRUE)</f>
        <v>1</v>
      </c>
      <c r="G48" cm="1">
        <f t="array" ref="G48">_xlfn.IFS('Form responses 1'!G48 = "Selected", 1, 'Form responses 1'!G48 = "Not Selected", 0, 0, TRUE)</f>
        <v>0</v>
      </c>
      <c r="H48" cm="1">
        <f t="array" ref="H48">_xlfn.IFS('Form responses 1'!H48 = "Selected", 1, 'Form responses 1'!H48 = "Not Selected", 0, 0, TRUE)</f>
        <v>0</v>
      </c>
      <c r="I48" cm="1">
        <f t="array" ref="I48">_xlfn.IFS('Form responses 1'!I48 = "Selected", 1, 'Form responses 1'!I48 = "Not Selected", 0, 0, TRUE)</f>
        <v>0</v>
      </c>
      <c r="J48" cm="1">
        <f t="array" ref="J48">_xlfn.IFS('Form responses 1'!J48 = "Selected", 1, 'Form responses 1'!J48 = "Not Selected", 0, 0, TRUE)</f>
        <v>1</v>
      </c>
      <c r="K48" cm="1">
        <f t="array" ref="K48">_xlfn.IFS('Form responses 1'!K48 = "Selected", 1, 'Form responses 1'!K48 = "Not Selected", 0, 0, TRUE)</f>
        <v>0</v>
      </c>
      <c r="L48" cm="1">
        <f t="array" ref="L48">_xlfn.IFS('Form responses 1'!L48 = "Selected", 1, 'Form responses 1'!L48 = "Not Selected", 0, 0, TRUE)</f>
        <v>0</v>
      </c>
      <c r="M48" cm="1">
        <f t="array" ref="M48">_xlfn.IFS('Form responses 1'!M48 = "Selected", 1, 'Form responses 1'!M48 = "Not Selected", 0, 0, TRUE)</f>
        <v>0</v>
      </c>
      <c r="N48" cm="1">
        <f t="array" ref="N48">_xlfn.IFS('Form responses 1'!N48 = "Selected", 1, 'Form responses 1'!N48 = "Not Selected", 0, 0, TRUE)</f>
        <v>1</v>
      </c>
      <c r="O48" cm="1">
        <f t="array" ref="O48">_xlfn.IFS('Form responses 1'!O48 = "Yes", 1, 'Form responses 1'!O48 = "No", 2, 0, TRUE)</f>
        <v>2</v>
      </c>
      <c r="P48" cm="1">
        <f t="array" ref="P48">_xlfn.IFS('Form responses 1'!P48 = "Yes", 1, 'Form responses 1'!P48 = "No", 2, 'Form responses 1'!P48 = "Not sure", 3, 0, TRUE)</f>
        <v>2</v>
      </c>
      <c r="Q48" cm="1">
        <f t="array" ref="Q48">_xlfn.IFS('Form responses 1'!Q48 = "Yes", 1, 'Form responses 1'!Q48 = "No", 2, 0, TRUE)</f>
        <v>2</v>
      </c>
      <c r="R48" cm="1">
        <f t="array" ref="R48">_xlfn.IFS('Form responses 1'!R48 = "Yes", 1, 'Form responses 1'!R48 = "No", 2, 0, TRUE)</f>
        <v>2</v>
      </c>
      <c r="S48" cm="1">
        <f t="array" ref="S48">_xlfn.IFS('Form responses 1'!S48 = "Severely embarrassed", 1, 'Form responses 1'!S48 = "Somewhat uncomfortable", 2, 'Form responses 1'!S48= "Not affected", 3, 'Form responses 1'!S48= "Indifferent", 4, 0, TRUE)</f>
        <v>3</v>
      </c>
      <c r="T48" cm="1">
        <f t="array" ref="T48">_xlfn.IFS('Form responses 1'!T48 = "Yes", 1, 'Form responses 1'!T48 = "No", 2, 'Form responses 1'!T48 = "Not sure", 3, 0, TRUE)</f>
        <v>2</v>
      </c>
      <c r="U48" cm="1">
        <f t="array" ref="U48">_xlfn.IFS('Form responses 1'!U48 = "Strongly agree", 1, 'Form responses 1'!U48 = "Agree", 2, 'Form responses 1'!U48 = "Neutral", 3, 'Form responses 1'!U48 = "Disagree", 4, 0, TRUE)</f>
        <v>2</v>
      </c>
      <c r="V48" cm="1">
        <f t="array" ref="V48">_xlfn.IFS('Form responses 1'!V48 = "Selected", 1, 'Form responses 1'!V48 = "Not Selected", 0, 0, TRUE)</f>
        <v>0</v>
      </c>
      <c r="W48" cm="1">
        <f t="array" ref="W48">_xlfn.IFS('Form responses 1'!W48 = "Selected", 1, 'Form responses 1'!W48 = "Not Selected", 0, 0, TRUE)</f>
        <v>0</v>
      </c>
      <c r="X48" cm="1">
        <f t="array" ref="X48">_xlfn.IFS('Form responses 1'!X48 = "Selected", 1, 'Form responses 1'!X48 = "Not Selected", 0, 0, TRUE)</f>
        <v>0</v>
      </c>
      <c r="Y48" cm="1">
        <f t="array" ref="Y48">_xlfn.IFS('Form responses 1'!Y48 = "Selected", 1, 'Form responses 1'!Y48 = "Not Selected", 0, 0, TRUE)</f>
        <v>0</v>
      </c>
      <c r="Z48" cm="1">
        <f t="array" ref="Z48">_xlfn.IFS('Form responses 1'!Z48 = "Selected", 1, 'Form responses 1'!Z48 = "Not Selected", 0, 0, TRUE)</f>
        <v>1</v>
      </c>
      <c r="AA48" cm="1">
        <f t="array" ref="AA48">_xlfn.IFS('Form responses 1'!AA48 = "Very effective", 1, 'Form responses 1'!AA48 = "Somewhat effective", 2, 'Form responses 1'!AA48 = "Not effective", 3, 'Form responses 1'!AA48 = "Made it worse", 4, 0, TRUE)</f>
        <v>3</v>
      </c>
      <c r="AB48" cm="1">
        <f t="array" ref="AB48">_xlfn.IFS('Form responses 1'!AB48 = "Yes", 1, 'Form responses 1'!AB48 = "No", 2, 'Form responses 1'!AB48 = "Not sure", 3, 0, TRUE)</f>
        <v>1</v>
      </c>
      <c r="AC48" cm="1">
        <f t="array" ref="AC48">_xlfn.IFS('Form responses 1'!AC48 = "Yes", 1, 'Form responses 1'!AC48 = "No", 2, 0, TRUE)</f>
        <v>1</v>
      </c>
    </row>
    <row r="49" spans="1:29" x14ac:dyDescent="0.2">
      <c r="A49" cm="1">
        <f t="array" ref="A49">_xlfn.IFS('Form responses 1'!A49 = "18-24 years", 1, 'Form responses 1'!A49 = "25-34 years", 2, 'Form responses 1'!A49= "35-44 years", 3, 'Form responses 1'!A49= "45-54 years", 4, 'Form responses 1'!A49= "55-64 years", 5, 'Form responses 1'!A49= "65 &amp; above", 6, 0, TRUE)</f>
        <v>2</v>
      </c>
      <c r="B49" cm="1">
        <f t="array" ref="B49">_xlfn.IFS('Form responses 1'!B49 = "Female", 1, 'Form responses 1'!B49 = "Male", 2, 0, TRUE)</f>
        <v>1</v>
      </c>
      <c r="C49" t="s">
        <v>60</v>
      </c>
      <c r="D49" cm="1">
        <f t="array" ref="D49">_xlfn.IFS('Form responses 1'!D49 = "Once", 1, 'Form responses 1'!D49 = "Twice", 2, 'Form responses 1'!D49= "More than twice", 3, 'Form responses 1'!D49= "Occasionally", 4, 0, TRUE)</f>
        <v>2</v>
      </c>
      <c r="E49" cm="1">
        <f t="array" ref="E49">_xlfn.IFS('Form responses 1'!E49 = "Selected", 1, 'Form responses 1'!E49 = "Not Selected", 0, 0, TRUE)</f>
        <v>1</v>
      </c>
      <c r="F49" cm="1">
        <f t="array" ref="F49">_xlfn.IFS('Form responses 1'!F49 = "Selected", 1, 'Form responses 1'!F49 = "Not Selected", 0, 0, TRUE)</f>
        <v>1</v>
      </c>
      <c r="G49" cm="1">
        <f t="array" ref="G49">_xlfn.IFS('Form responses 1'!G49 = "Selected", 1, 'Form responses 1'!G49 = "Not Selected", 0, 0, TRUE)</f>
        <v>0</v>
      </c>
      <c r="H49" cm="1">
        <f t="array" ref="H49">_xlfn.IFS('Form responses 1'!H49 = "Selected", 1, 'Form responses 1'!H49 = "Not Selected", 0, 0, TRUE)</f>
        <v>0</v>
      </c>
      <c r="I49" cm="1">
        <f t="array" ref="I49">_xlfn.IFS('Form responses 1'!I49 = "Selected", 1, 'Form responses 1'!I49 = "Not Selected", 0, 0, TRUE)</f>
        <v>0</v>
      </c>
      <c r="J49" cm="1">
        <f t="array" ref="J49">_xlfn.IFS('Form responses 1'!J49 = "Selected", 1, 'Form responses 1'!J49 = "Not Selected", 0, 0, TRUE)</f>
        <v>1</v>
      </c>
      <c r="K49" cm="1">
        <f t="array" ref="K49">_xlfn.IFS('Form responses 1'!K49 = "Selected", 1, 'Form responses 1'!K49 = "Not Selected", 0, 0, TRUE)</f>
        <v>1</v>
      </c>
      <c r="L49" cm="1">
        <f t="array" ref="L49">_xlfn.IFS('Form responses 1'!L49 = "Selected", 1, 'Form responses 1'!L49 = "Not Selected", 0, 0, TRUE)</f>
        <v>1</v>
      </c>
      <c r="M49" cm="1">
        <f t="array" ref="M49">_xlfn.IFS('Form responses 1'!M49 = "Selected", 1, 'Form responses 1'!M49 = "Not Selected", 0, 0, TRUE)</f>
        <v>1</v>
      </c>
      <c r="N49" cm="1">
        <f t="array" ref="N49">_xlfn.IFS('Form responses 1'!N49 = "Selected", 1, 'Form responses 1'!N49 = "Not Selected", 0, 0, TRUE)</f>
        <v>1</v>
      </c>
      <c r="O49" cm="1">
        <f t="array" ref="O49">_xlfn.IFS('Form responses 1'!O49 = "Yes", 1, 'Form responses 1'!O49 = "No", 2, 0, TRUE)</f>
        <v>2</v>
      </c>
      <c r="P49" cm="1">
        <f t="array" ref="P49">_xlfn.IFS('Form responses 1'!P49 = "Yes", 1, 'Form responses 1'!P49 = "No", 2, 'Form responses 1'!P49 = "Not sure", 3, 0, TRUE)</f>
        <v>2</v>
      </c>
      <c r="Q49" cm="1">
        <f t="array" ref="Q49">_xlfn.IFS('Form responses 1'!Q49 = "Yes", 1, 'Form responses 1'!Q49 = "No", 2, 0, TRUE)</f>
        <v>2</v>
      </c>
      <c r="R49" cm="1">
        <f t="array" ref="R49">_xlfn.IFS('Form responses 1'!R49 = "Yes", 1, 'Form responses 1'!R49 = "No", 2, 0, TRUE)</f>
        <v>2</v>
      </c>
      <c r="S49" cm="1">
        <f t="array" ref="S49">_xlfn.IFS('Form responses 1'!S49 = "Severely embarrassed", 1, 'Form responses 1'!S49 = "Somewhat uncomfortable", 2, 'Form responses 1'!S49= "Not affected", 3, 'Form responses 1'!S49= "Indifferent", 4, 0, TRUE)</f>
        <v>3</v>
      </c>
      <c r="T49" cm="1">
        <f t="array" ref="T49">_xlfn.IFS('Form responses 1'!T49 = "Yes", 1, 'Form responses 1'!T49 = "No", 2, 'Form responses 1'!T49 = "Not sure", 3, 0, TRUE)</f>
        <v>2</v>
      </c>
      <c r="U49" cm="1">
        <f t="array" ref="U49">_xlfn.IFS('Form responses 1'!U49 = "Strongly agree", 1, 'Form responses 1'!U49 = "Agree", 2, 'Form responses 1'!U49 = "Neutral", 3, 'Form responses 1'!U49 = "Disagree", 4, 0, TRUE)</f>
        <v>2</v>
      </c>
      <c r="V49" cm="1">
        <f t="array" ref="V49">_xlfn.IFS('Form responses 1'!V49 = "Selected", 1, 'Form responses 1'!V49 = "Not Selected", 0, 0, TRUE)</f>
        <v>1</v>
      </c>
      <c r="W49" cm="1">
        <f t="array" ref="W49">_xlfn.IFS('Form responses 1'!W49 = "Selected", 1, 'Form responses 1'!W49 = "Not Selected", 0, 0, TRUE)</f>
        <v>0</v>
      </c>
      <c r="X49" cm="1">
        <f t="array" ref="X49">_xlfn.IFS('Form responses 1'!X49 = "Selected", 1, 'Form responses 1'!X49 = "Not Selected", 0, 0, TRUE)</f>
        <v>0</v>
      </c>
      <c r="Y49" cm="1">
        <f t="array" ref="Y49">_xlfn.IFS('Form responses 1'!Y49 = "Selected", 1, 'Form responses 1'!Y49 = "Not Selected", 0, 0, TRUE)</f>
        <v>0</v>
      </c>
      <c r="Z49" cm="1">
        <f t="array" ref="Z49">_xlfn.IFS('Form responses 1'!Z49 = "Selected", 1, 'Form responses 1'!Z49 = "Not Selected", 0, 0, TRUE)</f>
        <v>0</v>
      </c>
      <c r="AA49" cm="1">
        <f t="array" ref="AA49">_xlfn.IFS('Form responses 1'!AA49 = "Very effective", 1, 'Form responses 1'!AA49 = "Somewhat effective", 2, 'Form responses 1'!AA49 = "Not effective", 3, 'Form responses 1'!AA49 = "Made it worse", 4, 0, TRUE)</f>
        <v>1</v>
      </c>
      <c r="AB49" cm="1">
        <f t="array" ref="AB49">_xlfn.IFS('Form responses 1'!AB49 = "Yes", 1, 'Form responses 1'!AB49 = "No", 2, 'Form responses 1'!AB49 = "Not sure", 3, 0, TRUE)</f>
        <v>3</v>
      </c>
      <c r="AC49" cm="1">
        <f t="array" ref="AC49">_xlfn.IFS('Form responses 1'!AC49 = "Yes", 1, 'Form responses 1'!AC49 = "No", 2, 0, TRUE)</f>
        <v>1</v>
      </c>
    </row>
    <row r="50" spans="1:29" x14ac:dyDescent="0.2">
      <c r="A50" cm="1">
        <f t="array" ref="A50">_xlfn.IFS('Form responses 1'!A50 = "18-24 years", 1, 'Form responses 1'!A50 = "25-34 years", 2, 'Form responses 1'!A50= "35-44 years", 3, 'Form responses 1'!A50= "45-54 years", 4, 'Form responses 1'!A50= "55-64 years", 5, 'Form responses 1'!A50= "65 &amp; above", 6, 0, TRUE)</f>
        <v>1</v>
      </c>
      <c r="B50" cm="1">
        <f t="array" ref="B50">_xlfn.IFS('Form responses 1'!B50 = "Female", 1, 'Form responses 1'!B50 = "Male", 2, 0, TRUE)</f>
        <v>1</v>
      </c>
      <c r="C50" t="s">
        <v>66</v>
      </c>
      <c r="D50" cm="1">
        <f t="array" ref="D50">_xlfn.IFS('Form responses 1'!D50 = "Once", 1, 'Form responses 1'!D50 = "Twice", 2, 'Form responses 1'!D50= "More than twice", 3, 'Form responses 1'!D50= "Occasionally", 4, 0, TRUE)</f>
        <v>2</v>
      </c>
      <c r="E50" cm="1">
        <f t="array" ref="E50">_xlfn.IFS('Form responses 1'!E50 = "Selected", 1, 'Form responses 1'!E50 = "Not Selected", 0, 0, TRUE)</f>
        <v>1</v>
      </c>
      <c r="F50" cm="1">
        <f t="array" ref="F50">_xlfn.IFS('Form responses 1'!F50 = "Selected", 1, 'Form responses 1'!F50 = "Not Selected", 0, 0, TRUE)</f>
        <v>1</v>
      </c>
      <c r="G50" cm="1">
        <f t="array" ref="G50">_xlfn.IFS('Form responses 1'!G50 = "Selected", 1, 'Form responses 1'!G50 = "Not Selected", 0, 0, TRUE)</f>
        <v>0</v>
      </c>
      <c r="H50" cm="1">
        <f t="array" ref="H50">_xlfn.IFS('Form responses 1'!H50 = "Selected", 1, 'Form responses 1'!H50 = "Not Selected", 0, 0, TRUE)</f>
        <v>0</v>
      </c>
      <c r="I50" cm="1">
        <f t="array" ref="I50">_xlfn.IFS('Form responses 1'!I50 = "Selected", 1, 'Form responses 1'!I50 = "Not Selected", 0, 0, TRUE)</f>
        <v>0</v>
      </c>
      <c r="J50" cm="1">
        <f t="array" ref="J50">_xlfn.IFS('Form responses 1'!J50 = "Selected", 1, 'Form responses 1'!J50 = "Not Selected", 0, 0, TRUE)</f>
        <v>1</v>
      </c>
      <c r="K50" cm="1">
        <f t="array" ref="K50">_xlfn.IFS('Form responses 1'!K50 = "Selected", 1, 'Form responses 1'!K50 = "Not Selected", 0, 0, TRUE)</f>
        <v>0</v>
      </c>
      <c r="L50" cm="1">
        <f t="array" ref="L50">_xlfn.IFS('Form responses 1'!L50 = "Selected", 1, 'Form responses 1'!L50 = "Not Selected", 0, 0, TRUE)</f>
        <v>0</v>
      </c>
      <c r="M50" cm="1">
        <f t="array" ref="M50">_xlfn.IFS('Form responses 1'!M50 = "Selected", 1, 'Form responses 1'!M50 = "Not Selected", 0, 0, TRUE)</f>
        <v>0</v>
      </c>
      <c r="N50" cm="1">
        <f t="array" ref="N50">_xlfn.IFS('Form responses 1'!N50 = "Selected", 1, 'Form responses 1'!N50 = "Not Selected", 0, 0, TRUE)</f>
        <v>0</v>
      </c>
      <c r="O50" cm="1">
        <f t="array" ref="O50">_xlfn.IFS('Form responses 1'!O50 = "Yes", 1, 'Form responses 1'!O50 = "No", 2, 0, TRUE)</f>
        <v>2</v>
      </c>
      <c r="P50" cm="1">
        <f t="array" ref="P50">_xlfn.IFS('Form responses 1'!P50 = "Yes", 1, 'Form responses 1'!P50 = "No", 2, 'Form responses 1'!P50 = "Not sure", 3, 0, TRUE)</f>
        <v>2</v>
      </c>
      <c r="Q50" cm="1">
        <f t="array" ref="Q50">_xlfn.IFS('Form responses 1'!Q50 = "Yes", 1, 'Form responses 1'!Q50 = "No", 2, 0, TRUE)</f>
        <v>2</v>
      </c>
      <c r="R50" cm="1">
        <f t="array" ref="R50">_xlfn.IFS('Form responses 1'!R50 = "Yes", 1, 'Form responses 1'!R50 = "No", 2, 0, TRUE)</f>
        <v>2</v>
      </c>
      <c r="S50" cm="1">
        <f t="array" ref="S50">_xlfn.IFS('Form responses 1'!S50 = "Severely embarrassed", 1, 'Form responses 1'!S50 = "Somewhat uncomfortable", 2, 'Form responses 1'!S50= "Not affected", 3, 'Form responses 1'!S50= "Indifferent", 4, 0, TRUE)</f>
        <v>3</v>
      </c>
      <c r="T50" cm="1">
        <f t="array" ref="T50">_xlfn.IFS('Form responses 1'!T50 = "Yes", 1, 'Form responses 1'!T50 = "No", 2, 'Form responses 1'!T50 = "Not sure", 3, 0, TRUE)</f>
        <v>2</v>
      </c>
      <c r="U50" cm="1">
        <f t="array" ref="U50">_xlfn.IFS('Form responses 1'!U50 = "Strongly agree", 1, 'Form responses 1'!U50 = "Agree", 2, 'Form responses 1'!U50 = "Neutral", 3, 'Form responses 1'!U50 = "Disagree", 4, 0, TRUE)</f>
        <v>2</v>
      </c>
      <c r="V50" cm="1">
        <f t="array" ref="V50">_xlfn.IFS('Form responses 1'!V50 = "Selected", 1, 'Form responses 1'!V50 = "Not Selected", 0, 0, TRUE)</f>
        <v>1</v>
      </c>
      <c r="W50" cm="1">
        <f t="array" ref="W50">_xlfn.IFS('Form responses 1'!W50 = "Selected", 1, 'Form responses 1'!W50 = "Not Selected", 0, 0, TRUE)</f>
        <v>0</v>
      </c>
      <c r="X50" cm="1">
        <f t="array" ref="X50">_xlfn.IFS('Form responses 1'!X50 = "Selected", 1, 'Form responses 1'!X50 = "Not Selected", 0, 0, TRUE)</f>
        <v>0</v>
      </c>
      <c r="Y50" cm="1">
        <f t="array" ref="Y50">_xlfn.IFS('Form responses 1'!Y50 = "Selected", 1, 'Form responses 1'!Y50 = "Not Selected", 0, 0, TRUE)</f>
        <v>0</v>
      </c>
      <c r="Z50" cm="1">
        <f t="array" ref="Z50">_xlfn.IFS('Form responses 1'!Z50 = "Selected", 1, 'Form responses 1'!Z50 = "Not Selected", 0, 0, TRUE)</f>
        <v>1</v>
      </c>
      <c r="AA50" cm="1">
        <f t="array" ref="AA50">_xlfn.IFS('Form responses 1'!AA50 = "Very effective", 1, 'Form responses 1'!AA50 = "Somewhat effective", 2, 'Form responses 1'!AA50 = "Not effective", 3, 'Form responses 1'!AA50 = "Made it worse", 4, 0, TRUE)</f>
        <v>1</v>
      </c>
      <c r="AB50" cm="1">
        <f t="array" ref="AB50">_xlfn.IFS('Form responses 1'!AB50 = "Yes", 1, 'Form responses 1'!AB50 = "No", 2, 'Form responses 1'!AB50 = "Not sure", 3, 0, TRUE)</f>
        <v>1</v>
      </c>
      <c r="AC50" cm="1">
        <f t="array" ref="AC50">_xlfn.IFS('Form responses 1'!AC50 = "Yes", 1, 'Form responses 1'!AC50 = "No", 2, 0, TRUE)</f>
        <v>1</v>
      </c>
    </row>
    <row r="51" spans="1:29" x14ac:dyDescent="0.2">
      <c r="A51" cm="1">
        <f t="array" ref="A51">_xlfn.IFS('Form responses 1'!A51 = "18-24 years", 1, 'Form responses 1'!A51 = "25-34 years", 2, 'Form responses 1'!A51= "35-44 years", 3, 'Form responses 1'!A51= "45-54 years", 4, 'Form responses 1'!A51= "55-64 years", 5, 'Form responses 1'!A51= "65 &amp; above", 6, 0, TRUE)</f>
        <v>2</v>
      </c>
      <c r="B51" cm="1">
        <f t="array" ref="B51">_xlfn.IFS('Form responses 1'!B51 = "Female", 1, 'Form responses 1'!B51 = "Male", 2, 0, TRUE)</f>
        <v>1</v>
      </c>
      <c r="C51" t="s">
        <v>62</v>
      </c>
      <c r="D51" cm="1">
        <f t="array" ref="D51">_xlfn.IFS('Form responses 1'!D51 = "Once", 1, 'Form responses 1'!D51 = "Twice", 2, 'Form responses 1'!D51= "More than twice", 3, 'Form responses 1'!D51= "Occasionally", 4, 0, TRUE)</f>
        <v>3</v>
      </c>
      <c r="E51" cm="1">
        <f t="array" ref="E51">_xlfn.IFS('Form responses 1'!E51 = "Selected", 1, 'Form responses 1'!E51 = "Not Selected", 0, 0, TRUE)</f>
        <v>1</v>
      </c>
      <c r="F51" cm="1">
        <f t="array" ref="F51">_xlfn.IFS('Form responses 1'!F51 = "Selected", 1, 'Form responses 1'!F51 = "Not Selected", 0, 0, TRUE)</f>
        <v>1</v>
      </c>
      <c r="G51" cm="1">
        <f t="array" ref="G51">_xlfn.IFS('Form responses 1'!G51 = "Selected", 1, 'Form responses 1'!G51 = "Not Selected", 0, 0, TRUE)</f>
        <v>0</v>
      </c>
      <c r="H51" cm="1">
        <f t="array" ref="H51">_xlfn.IFS('Form responses 1'!H51 = "Selected", 1, 'Form responses 1'!H51 = "Not Selected", 0, 0, TRUE)</f>
        <v>0</v>
      </c>
      <c r="I51" cm="1">
        <f t="array" ref="I51">_xlfn.IFS('Form responses 1'!I51 = "Selected", 1, 'Form responses 1'!I51 = "Not Selected", 0, 0, TRUE)</f>
        <v>0</v>
      </c>
      <c r="J51" cm="1">
        <f t="array" ref="J51">_xlfn.IFS('Form responses 1'!J51 = "Selected", 1, 'Form responses 1'!J51 = "Not Selected", 0, 0, TRUE)</f>
        <v>0</v>
      </c>
      <c r="K51" cm="1">
        <f t="array" ref="K51">_xlfn.IFS('Form responses 1'!K51 = "Selected", 1, 'Form responses 1'!K51 = "Not Selected", 0, 0, TRUE)</f>
        <v>0</v>
      </c>
      <c r="L51" cm="1">
        <f t="array" ref="L51">_xlfn.IFS('Form responses 1'!L51 = "Selected", 1, 'Form responses 1'!L51 = "Not Selected", 0, 0, TRUE)</f>
        <v>1</v>
      </c>
      <c r="M51" cm="1">
        <f t="array" ref="M51">_xlfn.IFS('Form responses 1'!M51 = "Selected", 1, 'Form responses 1'!M51 = "Not Selected", 0, 0, TRUE)</f>
        <v>0</v>
      </c>
      <c r="N51" cm="1">
        <f t="array" ref="N51">_xlfn.IFS('Form responses 1'!N51 = "Selected", 1, 'Form responses 1'!N51 = "Not Selected", 0, 0, TRUE)</f>
        <v>0</v>
      </c>
      <c r="O51" cm="1">
        <f t="array" ref="O51">_xlfn.IFS('Form responses 1'!O51 = "Yes", 1, 'Form responses 1'!O51 = "No", 2, 0, TRUE)</f>
        <v>2</v>
      </c>
      <c r="P51" cm="1">
        <f t="array" ref="P51">_xlfn.IFS('Form responses 1'!P51 = "Yes", 1, 'Form responses 1'!P51 = "No", 2, 'Form responses 1'!P51 = "Not sure", 3, 0, TRUE)</f>
        <v>3</v>
      </c>
      <c r="Q51" cm="1">
        <f t="array" ref="Q51">_xlfn.IFS('Form responses 1'!Q51 = "Yes", 1, 'Form responses 1'!Q51 = "No", 2, 0, TRUE)</f>
        <v>2</v>
      </c>
      <c r="R51" cm="1">
        <f t="array" ref="R51">_xlfn.IFS('Form responses 1'!R51 = "Yes", 1, 'Form responses 1'!R51 = "No", 2, 0, TRUE)</f>
        <v>2</v>
      </c>
      <c r="S51" cm="1">
        <f t="array" ref="S51">_xlfn.IFS('Form responses 1'!S51 = "Severely embarrassed", 1, 'Form responses 1'!S51 = "Somewhat uncomfortable", 2, 'Form responses 1'!S51= "Not affected", 3, 'Form responses 1'!S51= "Indifferent", 4, 0, TRUE)</f>
        <v>3</v>
      </c>
      <c r="T51" cm="1">
        <f t="array" ref="T51">_xlfn.IFS('Form responses 1'!T51 = "Yes", 1, 'Form responses 1'!T51 = "No", 2, 'Form responses 1'!T51 = "Not sure", 3, 0, TRUE)</f>
        <v>2</v>
      </c>
      <c r="U51" cm="1">
        <f t="array" ref="U51">_xlfn.IFS('Form responses 1'!U51 = "Strongly agree", 1, 'Form responses 1'!U51 = "Agree", 2, 'Form responses 1'!U51 = "Neutral", 3, 'Form responses 1'!U51 = "Disagree", 4, 0, TRUE)</f>
        <v>1</v>
      </c>
      <c r="V51" cm="1">
        <f t="array" ref="V51">_xlfn.IFS('Form responses 1'!V51 = "Selected", 1, 'Form responses 1'!V51 = "Not Selected", 0, 0, TRUE)</f>
        <v>1</v>
      </c>
      <c r="W51" cm="1">
        <f t="array" ref="W51">_xlfn.IFS('Form responses 1'!W51 = "Selected", 1, 'Form responses 1'!W51 = "Not Selected", 0, 0, TRUE)</f>
        <v>0</v>
      </c>
      <c r="X51" cm="1">
        <f t="array" ref="X51">_xlfn.IFS('Form responses 1'!X51 = "Selected", 1, 'Form responses 1'!X51 = "Not Selected", 0, 0, TRUE)</f>
        <v>0</v>
      </c>
      <c r="Y51" cm="1">
        <f t="array" ref="Y51">_xlfn.IFS('Form responses 1'!Y51 = "Selected", 1, 'Form responses 1'!Y51 = "Not Selected", 0, 0, TRUE)</f>
        <v>0</v>
      </c>
      <c r="Z51" cm="1">
        <f t="array" ref="Z51">_xlfn.IFS('Form responses 1'!Z51 = "Selected", 1, 'Form responses 1'!Z51 = "Not Selected", 0, 0, TRUE)</f>
        <v>0</v>
      </c>
      <c r="AA51" cm="1">
        <f t="array" ref="AA51">_xlfn.IFS('Form responses 1'!AA51 = "Very effective", 1, 'Form responses 1'!AA51 = "Somewhat effective", 2, 'Form responses 1'!AA51 = "Not effective", 3, 'Form responses 1'!AA51 = "Made it worse", 4, 0, TRUE)</f>
        <v>1</v>
      </c>
      <c r="AB51" cm="1">
        <f t="array" ref="AB51">_xlfn.IFS('Form responses 1'!AB51 = "Yes", 1, 'Form responses 1'!AB51 = "No", 2, 'Form responses 1'!AB51 = "Not sure", 3, 0, TRUE)</f>
        <v>1</v>
      </c>
      <c r="AC51" cm="1">
        <f t="array" ref="AC51">_xlfn.IFS('Form responses 1'!AC51 = "Yes", 1, 'Form responses 1'!AC51 = "No", 2, 0, TRUE)</f>
        <v>1</v>
      </c>
    </row>
    <row r="52" spans="1:29" x14ac:dyDescent="0.2">
      <c r="A52" cm="1">
        <f t="array" ref="A52">_xlfn.IFS('Form responses 1'!A52 = "18-24 years", 1, 'Form responses 1'!A52 = "25-34 years", 2, 'Form responses 1'!A52= "35-44 years", 3, 'Form responses 1'!A52= "45-54 years", 4, 'Form responses 1'!A52= "55-64 years", 5, 'Form responses 1'!A52= "65 &amp; above", 6, 0, TRUE)</f>
        <v>3</v>
      </c>
      <c r="B52" cm="1">
        <f t="array" ref="B52">_xlfn.IFS('Form responses 1'!B52 = "Female", 1, 'Form responses 1'!B52 = "Male", 2, 0, TRUE)</f>
        <v>1</v>
      </c>
      <c r="C52" t="s">
        <v>31</v>
      </c>
      <c r="D52" cm="1">
        <f t="array" ref="D52">_xlfn.IFS('Form responses 1'!D52 = "Once", 1, 'Form responses 1'!D52 = "Twice", 2, 'Form responses 1'!D52= "More than twice", 3, 'Form responses 1'!D52= "Occasionally", 4, 0, TRUE)</f>
        <v>2</v>
      </c>
      <c r="E52" cm="1">
        <f t="array" ref="E52">_xlfn.IFS('Form responses 1'!E52 = "Selected", 1, 'Form responses 1'!E52 = "Not Selected", 0, 0, TRUE)</f>
        <v>0</v>
      </c>
      <c r="F52" cm="1">
        <f t="array" ref="F52">_xlfn.IFS('Form responses 1'!F52 = "Selected", 1, 'Form responses 1'!F52 = "Not Selected", 0, 0, TRUE)</f>
        <v>1</v>
      </c>
      <c r="G52" cm="1">
        <f t="array" ref="G52">_xlfn.IFS('Form responses 1'!G52 = "Selected", 1, 'Form responses 1'!G52 = "Not Selected", 0, 0, TRUE)</f>
        <v>0</v>
      </c>
      <c r="H52" cm="1">
        <f t="array" ref="H52">_xlfn.IFS('Form responses 1'!H52 = "Selected", 1, 'Form responses 1'!H52 = "Not Selected", 0, 0, TRUE)</f>
        <v>0</v>
      </c>
      <c r="I52" cm="1">
        <f t="array" ref="I52">_xlfn.IFS('Form responses 1'!I52 = "Selected", 1, 'Form responses 1'!I52 = "Not Selected", 0, 0, TRUE)</f>
        <v>0</v>
      </c>
      <c r="J52" cm="1">
        <f t="array" ref="J52">_xlfn.IFS('Form responses 1'!J52 = "Selected", 1, 'Form responses 1'!J52 = "Not Selected", 0, 0, TRUE)</f>
        <v>0</v>
      </c>
      <c r="K52" cm="1">
        <f t="array" ref="K52">_xlfn.IFS('Form responses 1'!K52 = "Selected", 1, 'Form responses 1'!K52 = "Not Selected", 0, 0, TRUE)</f>
        <v>1</v>
      </c>
      <c r="L52" cm="1">
        <f t="array" ref="L52">_xlfn.IFS('Form responses 1'!L52 = "Selected", 1, 'Form responses 1'!L52 = "Not Selected", 0, 0, TRUE)</f>
        <v>1</v>
      </c>
      <c r="M52" cm="1">
        <f t="array" ref="M52">_xlfn.IFS('Form responses 1'!M52 = "Selected", 1, 'Form responses 1'!M52 = "Not Selected", 0, 0, TRUE)</f>
        <v>0</v>
      </c>
      <c r="N52" cm="1">
        <f t="array" ref="N52">_xlfn.IFS('Form responses 1'!N52 = "Selected", 1, 'Form responses 1'!N52 = "Not Selected", 0, 0, TRUE)</f>
        <v>1</v>
      </c>
      <c r="O52" cm="1">
        <f t="array" ref="O52">_xlfn.IFS('Form responses 1'!O52 = "Yes", 1, 'Form responses 1'!O52 = "No", 2, 0, TRUE)</f>
        <v>2</v>
      </c>
      <c r="P52" cm="1">
        <f t="array" ref="P52">_xlfn.IFS('Form responses 1'!P52 = "Yes", 1, 'Form responses 1'!P52 = "No", 2, 'Form responses 1'!P52 = "Not sure", 3, 0, TRUE)</f>
        <v>2</v>
      </c>
      <c r="Q52" cm="1">
        <f t="array" ref="Q52">_xlfn.IFS('Form responses 1'!Q52 = "Yes", 1, 'Form responses 1'!Q52 = "No", 2, 0, TRUE)</f>
        <v>2</v>
      </c>
      <c r="R52" cm="1">
        <f t="array" ref="R52">_xlfn.IFS('Form responses 1'!R52 = "Yes", 1, 'Form responses 1'!R52 = "No", 2, 0, TRUE)</f>
        <v>2</v>
      </c>
      <c r="S52" cm="1">
        <f t="array" ref="S52">_xlfn.IFS('Form responses 1'!S52 = "Severely embarrassed", 1, 'Form responses 1'!S52 = "Somewhat uncomfortable", 2, 'Form responses 1'!S52= "Not affected", 3, 'Form responses 1'!S52= "Indifferent", 4, 0, TRUE)</f>
        <v>3</v>
      </c>
      <c r="T52" cm="1">
        <f t="array" ref="T52">_xlfn.IFS('Form responses 1'!T52 = "Yes", 1, 'Form responses 1'!T52 = "No", 2, 'Form responses 1'!T52 = "Not sure", 3, 0, TRUE)</f>
        <v>2</v>
      </c>
      <c r="U52" cm="1">
        <f t="array" ref="U52">_xlfn.IFS('Form responses 1'!U52 = "Strongly agree", 1, 'Form responses 1'!U52 = "Agree", 2, 'Form responses 1'!U52 = "Neutral", 3, 'Form responses 1'!U52 = "Disagree", 4, 0, TRUE)</f>
        <v>1</v>
      </c>
      <c r="V52" cm="1">
        <f t="array" ref="V52">_xlfn.IFS('Form responses 1'!V52 = "Selected", 1, 'Form responses 1'!V52 = "Not Selected", 0, 0, TRUE)</f>
        <v>0</v>
      </c>
      <c r="W52" cm="1">
        <f t="array" ref="W52">_xlfn.IFS('Form responses 1'!W52 = "Selected", 1, 'Form responses 1'!W52 = "Not Selected", 0, 0, TRUE)</f>
        <v>0</v>
      </c>
      <c r="X52" cm="1">
        <f t="array" ref="X52">_xlfn.IFS('Form responses 1'!X52 = "Selected", 1, 'Form responses 1'!X52 = "Not Selected", 0, 0, TRUE)</f>
        <v>0</v>
      </c>
      <c r="Y52" cm="1">
        <f t="array" ref="Y52">_xlfn.IFS('Form responses 1'!Y52 = "Selected", 1, 'Form responses 1'!Y52 = "Not Selected", 0, 0, TRUE)</f>
        <v>0</v>
      </c>
      <c r="Z52" cm="1">
        <f t="array" ref="Z52">_xlfn.IFS('Form responses 1'!Z52 = "Selected", 1, 'Form responses 1'!Z52 = "Not Selected", 0, 0, TRUE)</f>
        <v>1</v>
      </c>
      <c r="AA52" cm="1">
        <f t="array" ref="AA52">_xlfn.IFS('Form responses 1'!AA52 = "Very effective", 1, 'Form responses 1'!AA52 = "Somewhat effective", 2, 'Form responses 1'!AA52 = "Not effective", 3, 'Form responses 1'!AA52 = "Made it worse", 4, 0, TRUE)</f>
        <v>1</v>
      </c>
      <c r="AB52" cm="1">
        <f t="array" ref="AB52">_xlfn.IFS('Form responses 1'!AB52 = "Yes", 1, 'Form responses 1'!AB52 = "No", 2, 'Form responses 1'!AB52 = "Not sure", 3, 0, TRUE)</f>
        <v>2</v>
      </c>
      <c r="AC52" cm="1">
        <f t="array" ref="AC52">_xlfn.IFS('Form responses 1'!AC52 = "Yes", 1, 'Form responses 1'!AC52 = "No", 2, 0, TRUE)</f>
        <v>1</v>
      </c>
    </row>
    <row r="53" spans="1:29" x14ac:dyDescent="0.2">
      <c r="A53" cm="1">
        <f t="array" ref="A53">_xlfn.IFS('Form responses 1'!A53 = "18-24 years", 1, 'Form responses 1'!A53 = "25-34 years", 2, 'Form responses 1'!A53= "35-44 years", 3, 'Form responses 1'!A53= "45-54 years", 4, 'Form responses 1'!A53= "55-64 years", 5, 'Form responses 1'!A53= "65 &amp; above", 6, 0, TRUE)</f>
        <v>2</v>
      </c>
      <c r="B53" cm="1">
        <f t="array" ref="B53">_xlfn.IFS('Form responses 1'!B53 = "Female", 1, 'Form responses 1'!B53 = "Male", 2, 0, TRUE)</f>
        <v>1</v>
      </c>
      <c r="C53" t="s">
        <v>35</v>
      </c>
      <c r="D53" cm="1">
        <f t="array" ref="D53">_xlfn.IFS('Form responses 1'!D53 = "Once", 1, 'Form responses 1'!D53 = "Twice", 2, 'Form responses 1'!D53= "More than twice", 3, 'Form responses 1'!D53= "Occasionally", 4, 0, TRUE)</f>
        <v>2</v>
      </c>
      <c r="E53" cm="1">
        <f t="array" ref="E53">_xlfn.IFS('Form responses 1'!E53 = "Selected", 1, 'Form responses 1'!E53 = "Not Selected", 0, 0, TRUE)</f>
        <v>1</v>
      </c>
      <c r="F53" cm="1">
        <f t="array" ref="F53">_xlfn.IFS('Form responses 1'!F53 = "Selected", 1, 'Form responses 1'!F53 = "Not Selected", 0, 0, TRUE)</f>
        <v>1</v>
      </c>
      <c r="G53" cm="1">
        <f t="array" ref="G53">_xlfn.IFS('Form responses 1'!G53 = "Selected", 1, 'Form responses 1'!G53 = "Not Selected", 0, 0, TRUE)</f>
        <v>0</v>
      </c>
      <c r="H53" cm="1">
        <f t="array" ref="H53">_xlfn.IFS('Form responses 1'!H53 = "Selected", 1, 'Form responses 1'!H53 = "Not Selected", 0, 0, TRUE)</f>
        <v>0</v>
      </c>
      <c r="I53" cm="1">
        <f t="array" ref="I53">_xlfn.IFS('Form responses 1'!I53 = "Selected", 1, 'Form responses 1'!I53 = "Not Selected", 0, 0, TRUE)</f>
        <v>0</v>
      </c>
      <c r="J53" cm="1">
        <f t="array" ref="J53">_xlfn.IFS('Form responses 1'!J53 = "Selected", 1, 'Form responses 1'!J53 = "Not Selected", 0, 0, TRUE)</f>
        <v>0</v>
      </c>
      <c r="K53" cm="1">
        <f t="array" ref="K53">_xlfn.IFS('Form responses 1'!K53 = "Selected", 1, 'Form responses 1'!K53 = "Not Selected", 0, 0, TRUE)</f>
        <v>1</v>
      </c>
      <c r="L53" cm="1">
        <f t="array" ref="L53">_xlfn.IFS('Form responses 1'!L53 = "Selected", 1, 'Form responses 1'!L53 = "Not Selected", 0, 0, TRUE)</f>
        <v>1</v>
      </c>
      <c r="M53" cm="1">
        <f t="array" ref="M53">_xlfn.IFS('Form responses 1'!M53 = "Selected", 1, 'Form responses 1'!M53 = "Not Selected", 0, 0, TRUE)</f>
        <v>1</v>
      </c>
      <c r="N53" cm="1">
        <f t="array" ref="N53">_xlfn.IFS('Form responses 1'!N53 = "Selected", 1, 'Form responses 1'!N53 = "Not Selected", 0, 0, TRUE)</f>
        <v>1</v>
      </c>
      <c r="O53" cm="1">
        <f t="array" ref="O53">_xlfn.IFS('Form responses 1'!O53 = "Yes", 1, 'Form responses 1'!O53 = "No", 2, 0, TRUE)</f>
        <v>1</v>
      </c>
      <c r="P53" cm="1">
        <f t="array" ref="P53">_xlfn.IFS('Form responses 1'!P53 = "Yes", 1, 'Form responses 1'!P53 = "No", 2, 'Form responses 1'!P53 = "Not sure", 3, 0, TRUE)</f>
        <v>1</v>
      </c>
      <c r="Q53" cm="1">
        <f t="array" ref="Q53">_xlfn.IFS('Form responses 1'!Q53 = "Yes", 1, 'Form responses 1'!Q53 = "No", 2, 0, TRUE)</f>
        <v>2</v>
      </c>
      <c r="R53" cm="1">
        <f t="array" ref="R53">_xlfn.IFS('Form responses 1'!R53 = "Yes", 1, 'Form responses 1'!R53 = "No", 2, 0, TRUE)</f>
        <v>1</v>
      </c>
      <c r="S53" cm="1">
        <f t="array" ref="S53">_xlfn.IFS('Form responses 1'!S53 = "Severely embarrassed", 1, 'Form responses 1'!S53 = "Somewhat uncomfortable", 2, 'Form responses 1'!S53= "Not affected", 3, 'Form responses 1'!S53= "Indifferent", 4, 0, TRUE)</f>
        <v>1</v>
      </c>
      <c r="T53" cm="1">
        <f t="array" ref="T53">_xlfn.IFS('Form responses 1'!T53 = "Yes", 1, 'Form responses 1'!T53 = "No", 2, 'Form responses 1'!T53 = "Not sure", 3, 0, TRUE)</f>
        <v>2</v>
      </c>
      <c r="U53" cm="1">
        <f t="array" ref="U53">_xlfn.IFS('Form responses 1'!U53 = "Strongly agree", 1, 'Form responses 1'!U53 = "Agree", 2, 'Form responses 1'!U53 = "Neutral", 3, 'Form responses 1'!U53 = "Disagree", 4, 0, TRUE)</f>
        <v>1</v>
      </c>
      <c r="V53" cm="1">
        <f t="array" ref="V53">_xlfn.IFS('Form responses 1'!V53 = "Selected", 1, 'Form responses 1'!V53 = "Not Selected", 0, 0, TRUE)</f>
        <v>0</v>
      </c>
      <c r="W53" cm="1">
        <f t="array" ref="W53">_xlfn.IFS('Form responses 1'!W53 = "Selected", 1, 'Form responses 1'!W53 = "Not Selected", 0, 0, TRUE)</f>
        <v>0</v>
      </c>
      <c r="X53" cm="1">
        <f t="array" ref="X53">_xlfn.IFS('Form responses 1'!X53 = "Selected", 1, 'Form responses 1'!X53 = "Not Selected", 0, 0, TRUE)</f>
        <v>0</v>
      </c>
      <c r="Y53" cm="1">
        <f t="array" ref="Y53">_xlfn.IFS('Form responses 1'!Y53 = "Selected", 1, 'Form responses 1'!Y53 = "Not Selected", 0, 0, TRUE)</f>
        <v>0</v>
      </c>
      <c r="Z53" cm="1">
        <f t="array" ref="Z53">_xlfn.IFS('Form responses 1'!Z53 = "Selected", 1, 'Form responses 1'!Z53 = "Not Selected", 0, 0, TRUE)</f>
        <v>1</v>
      </c>
      <c r="AA53" cm="1">
        <f t="array" ref="AA53">_xlfn.IFS('Form responses 1'!AA53 = "Very effective", 1, 'Form responses 1'!AA53 = "Somewhat effective", 2, 'Form responses 1'!AA53 = "Not effective", 3, 'Form responses 1'!AA53 = "Made it worse", 4, 0, TRUE)</f>
        <v>1</v>
      </c>
      <c r="AB53" cm="1">
        <f t="array" ref="AB53">_xlfn.IFS('Form responses 1'!AB53 = "Yes", 1, 'Form responses 1'!AB53 = "No", 2, 'Form responses 1'!AB53 = "Not sure", 3, 0, TRUE)</f>
        <v>1</v>
      </c>
      <c r="AC53" cm="1">
        <f t="array" ref="AC53">_xlfn.IFS('Form responses 1'!AC53 = "Yes", 1, 'Form responses 1'!AC53 = "No", 2, 0, TRUE)</f>
        <v>1</v>
      </c>
    </row>
    <row r="54" spans="1:29" x14ac:dyDescent="0.2">
      <c r="A54" cm="1">
        <f t="array" ref="A54">_xlfn.IFS('Form responses 1'!A54 = "18-24 years", 1, 'Form responses 1'!A54 = "25-34 years", 2, 'Form responses 1'!A54= "35-44 years", 3, 'Form responses 1'!A54= "45-54 years", 4, 'Form responses 1'!A54= "55-64 years", 5, 'Form responses 1'!A54= "65 &amp; above", 6, 0, TRUE)</f>
        <v>2</v>
      </c>
      <c r="B54" cm="1">
        <f t="array" ref="B54">_xlfn.IFS('Form responses 1'!B54 = "Female", 1, 'Form responses 1'!B54 = "Male", 2, 0, TRUE)</f>
        <v>2</v>
      </c>
      <c r="C54" t="s">
        <v>57</v>
      </c>
      <c r="D54" cm="1">
        <f t="array" ref="D54">_xlfn.IFS('Form responses 1'!D54 = "Once", 1, 'Form responses 1'!D54 = "Twice", 2, 'Form responses 1'!D54= "More than twice", 3, 'Form responses 1'!D54= "Occasionally", 4, 0, TRUE)</f>
        <v>1</v>
      </c>
      <c r="E54" cm="1">
        <f t="array" ref="E54">_xlfn.IFS('Form responses 1'!E54 = "Selected", 1, 'Form responses 1'!E54 = "Not Selected", 0, 0, TRUE)</f>
        <v>1</v>
      </c>
      <c r="F54" cm="1">
        <f t="array" ref="F54">_xlfn.IFS('Form responses 1'!F54 = "Selected", 1, 'Form responses 1'!F54 = "Not Selected", 0, 0, TRUE)</f>
        <v>1</v>
      </c>
      <c r="G54" cm="1">
        <f t="array" ref="G54">_xlfn.IFS('Form responses 1'!G54 = "Selected", 1, 'Form responses 1'!G54 = "Not Selected", 0, 0, TRUE)</f>
        <v>0</v>
      </c>
      <c r="H54" cm="1">
        <f t="array" ref="H54">_xlfn.IFS('Form responses 1'!H54 = "Selected", 1, 'Form responses 1'!H54 = "Not Selected", 0, 0, TRUE)</f>
        <v>0</v>
      </c>
      <c r="I54" cm="1">
        <f t="array" ref="I54">_xlfn.IFS('Form responses 1'!I54 = "Selected", 1, 'Form responses 1'!I54 = "Not Selected", 0, 0, TRUE)</f>
        <v>0</v>
      </c>
      <c r="J54" cm="1">
        <f t="array" ref="J54">_xlfn.IFS('Form responses 1'!J54 = "Selected", 1, 'Form responses 1'!J54 = "Not Selected", 0, 0, TRUE)</f>
        <v>1</v>
      </c>
      <c r="K54" cm="1">
        <f t="array" ref="K54">_xlfn.IFS('Form responses 1'!K54 = "Selected", 1, 'Form responses 1'!K54 = "Not Selected", 0, 0, TRUE)</f>
        <v>0</v>
      </c>
      <c r="L54" cm="1">
        <f t="array" ref="L54">_xlfn.IFS('Form responses 1'!L54 = "Selected", 1, 'Form responses 1'!L54 = "Not Selected", 0, 0, TRUE)</f>
        <v>0</v>
      </c>
      <c r="M54" cm="1">
        <f t="array" ref="M54">_xlfn.IFS('Form responses 1'!M54 = "Selected", 1, 'Form responses 1'!M54 = "Not Selected", 0, 0, TRUE)</f>
        <v>0</v>
      </c>
      <c r="N54" cm="1">
        <f t="array" ref="N54">_xlfn.IFS('Form responses 1'!N54 = "Selected", 1, 'Form responses 1'!N54 = "Not Selected", 0, 0, TRUE)</f>
        <v>0</v>
      </c>
      <c r="O54" cm="1">
        <f t="array" ref="O54">_xlfn.IFS('Form responses 1'!O54 = "Yes", 1, 'Form responses 1'!O54 = "No", 2, 0, TRUE)</f>
        <v>2</v>
      </c>
      <c r="P54" cm="1">
        <f t="array" ref="P54">_xlfn.IFS('Form responses 1'!P54 = "Yes", 1, 'Form responses 1'!P54 = "No", 2, 'Form responses 1'!P54 = "Not sure", 3, 0, TRUE)</f>
        <v>1</v>
      </c>
      <c r="Q54" cm="1">
        <f t="array" ref="Q54">_xlfn.IFS('Form responses 1'!Q54 = "Yes", 1, 'Form responses 1'!Q54 = "No", 2, 0, TRUE)</f>
        <v>2</v>
      </c>
      <c r="R54" cm="1">
        <f t="array" ref="R54">_xlfn.IFS('Form responses 1'!R54 = "Yes", 1, 'Form responses 1'!R54 = "No", 2, 0, TRUE)</f>
        <v>1</v>
      </c>
      <c r="S54" cm="1">
        <f t="array" ref="S54">_xlfn.IFS('Form responses 1'!S54 = "Severely embarrassed", 1, 'Form responses 1'!S54 = "Somewhat uncomfortable", 2, 'Form responses 1'!S54= "Not affected", 3, 'Form responses 1'!S54= "Indifferent", 4, 0, TRUE)</f>
        <v>2</v>
      </c>
      <c r="T54" cm="1">
        <f t="array" ref="T54">_xlfn.IFS('Form responses 1'!T54 = "Yes", 1, 'Form responses 1'!T54 = "No", 2, 'Form responses 1'!T54 = "Not sure", 3, 0, TRUE)</f>
        <v>1</v>
      </c>
      <c r="U54" cm="1">
        <f t="array" ref="U54">_xlfn.IFS('Form responses 1'!U54 = "Strongly agree", 1, 'Form responses 1'!U54 = "Agree", 2, 'Form responses 1'!U54 = "Neutral", 3, 'Form responses 1'!U54 = "Disagree", 4, 0, TRUE)</f>
        <v>1</v>
      </c>
      <c r="V54" cm="1">
        <f t="array" ref="V54">_xlfn.IFS('Form responses 1'!V54 = "Selected", 1, 'Form responses 1'!V54 = "Not Selected", 0, 0, TRUE)</f>
        <v>1</v>
      </c>
      <c r="W54" cm="1">
        <f t="array" ref="W54">_xlfn.IFS('Form responses 1'!W54 = "Selected", 1, 'Form responses 1'!W54 = "Not Selected", 0, 0, TRUE)</f>
        <v>0</v>
      </c>
      <c r="X54" cm="1">
        <f t="array" ref="X54">_xlfn.IFS('Form responses 1'!X54 = "Selected", 1, 'Form responses 1'!X54 = "Not Selected", 0, 0, TRUE)</f>
        <v>0</v>
      </c>
      <c r="Y54" cm="1">
        <f t="array" ref="Y54">_xlfn.IFS('Form responses 1'!Y54 = "Selected", 1, 'Form responses 1'!Y54 = "Not Selected", 0, 0, TRUE)</f>
        <v>0</v>
      </c>
      <c r="Z54" cm="1">
        <f t="array" ref="Z54">_xlfn.IFS('Form responses 1'!Z54 = "Selected", 1, 'Form responses 1'!Z54 = "Not Selected", 0, 0, TRUE)</f>
        <v>1</v>
      </c>
      <c r="AA54" cm="1">
        <f t="array" ref="AA54">_xlfn.IFS('Form responses 1'!AA54 = "Very effective", 1, 'Form responses 1'!AA54 = "Somewhat effective", 2, 'Form responses 1'!AA54 = "Not effective", 3, 'Form responses 1'!AA54 = "Made it worse", 4, 0, TRUE)</f>
        <v>1</v>
      </c>
      <c r="AB54" cm="1">
        <f t="array" ref="AB54">_xlfn.IFS('Form responses 1'!AB54 = "Yes", 1, 'Form responses 1'!AB54 = "No", 2, 'Form responses 1'!AB54 = "Not sure", 3, 0, TRUE)</f>
        <v>1</v>
      </c>
      <c r="AC54" cm="1">
        <f t="array" ref="AC54">_xlfn.IFS('Form responses 1'!AC54 = "Yes", 1, 'Form responses 1'!AC54 = "No", 2, 0, TRUE)</f>
        <v>1</v>
      </c>
    </row>
    <row r="55" spans="1:29" x14ac:dyDescent="0.2">
      <c r="A55" cm="1">
        <f t="array" ref="A55">_xlfn.IFS('Form responses 1'!A55 = "18-24 years", 1, 'Form responses 1'!A55 = "25-34 years", 2, 'Form responses 1'!A55= "35-44 years", 3, 'Form responses 1'!A55= "45-54 years", 4, 'Form responses 1'!A55= "55-64 years", 5, 'Form responses 1'!A55= "65 &amp; above", 6, 0, TRUE)</f>
        <v>2</v>
      </c>
      <c r="B55" cm="1">
        <f t="array" ref="B55">_xlfn.IFS('Form responses 1'!B55 = "Female", 1, 'Form responses 1'!B55 = "Male", 2, 0, TRUE)</f>
        <v>1</v>
      </c>
      <c r="C55" t="s">
        <v>67</v>
      </c>
      <c r="D55" cm="1">
        <f t="array" ref="D55">_xlfn.IFS('Form responses 1'!D55 = "Once", 1, 'Form responses 1'!D55 = "Twice", 2, 'Form responses 1'!D55= "More than twice", 3, 'Form responses 1'!D55= "Occasionally", 4, 0, TRUE)</f>
        <v>2</v>
      </c>
      <c r="E55" cm="1">
        <f t="array" ref="E55">_xlfn.IFS('Form responses 1'!E55 = "Selected", 1, 'Form responses 1'!E55 = "Not Selected", 0, 0, TRUE)</f>
        <v>0</v>
      </c>
      <c r="F55" cm="1">
        <f t="array" ref="F55">_xlfn.IFS('Form responses 1'!F55 = "Selected", 1, 'Form responses 1'!F55 = "Not Selected", 0, 0, TRUE)</f>
        <v>1</v>
      </c>
      <c r="G55" cm="1">
        <f t="array" ref="G55">_xlfn.IFS('Form responses 1'!G55 = "Selected", 1, 'Form responses 1'!G55 = "Not Selected", 0, 0, TRUE)</f>
        <v>0</v>
      </c>
      <c r="H55" cm="1">
        <f t="array" ref="H55">_xlfn.IFS('Form responses 1'!H55 = "Selected", 1, 'Form responses 1'!H55 = "Not Selected", 0, 0, TRUE)</f>
        <v>1</v>
      </c>
      <c r="I55" cm="1">
        <f t="array" ref="I55">_xlfn.IFS('Form responses 1'!I55 = "Selected", 1, 'Form responses 1'!I55 = "Not Selected", 0, 0, TRUE)</f>
        <v>0</v>
      </c>
      <c r="J55" cm="1">
        <f t="array" ref="J55">_xlfn.IFS('Form responses 1'!J55 = "Selected", 1, 'Form responses 1'!J55 = "Not Selected", 0, 0, TRUE)</f>
        <v>1</v>
      </c>
      <c r="K55" cm="1">
        <f t="array" ref="K55">_xlfn.IFS('Form responses 1'!K55 = "Selected", 1, 'Form responses 1'!K55 = "Not Selected", 0, 0, TRUE)</f>
        <v>1</v>
      </c>
      <c r="L55" cm="1">
        <f t="array" ref="L55">_xlfn.IFS('Form responses 1'!L55 = "Selected", 1, 'Form responses 1'!L55 = "Not Selected", 0, 0, TRUE)</f>
        <v>1</v>
      </c>
      <c r="M55" cm="1">
        <f t="array" ref="M55">_xlfn.IFS('Form responses 1'!M55 = "Selected", 1, 'Form responses 1'!M55 = "Not Selected", 0, 0, TRUE)</f>
        <v>1</v>
      </c>
      <c r="N55" cm="1">
        <f t="array" ref="N55">_xlfn.IFS('Form responses 1'!N55 = "Selected", 1, 'Form responses 1'!N55 = "Not Selected", 0, 0, TRUE)</f>
        <v>1</v>
      </c>
      <c r="O55" cm="1">
        <f t="array" ref="O55">_xlfn.IFS('Form responses 1'!O55 = "Yes", 1, 'Form responses 1'!O55 = "No", 2, 0, TRUE)</f>
        <v>2</v>
      </c>
      <c r="P55" cm="1">
        <f t="array" ref="P55">_xlfn.IFS('Form responses 1'!P55 = "Yes", 1, 'Form responses 1'!P55 = "No", 2, 'Form responses 1'!P55 = "Not sure", 3, 0, TRUE)</f>
        <v>3</v>
      </c>
      <c r="Q55" cm="1">
        <f t="array" ref="Q55">_xlfn.IFS('Form responses 1'!Q55 = "Yes", 1, 'Form responses 1'!Q55 = "No", 2, 0, TRUE)</f>
        <v>1</v>
      </c>
      <c r="R55" cm="1">
        <f t="array" ref="R55">_xlfn.IFS('Form responses 1'!R55 = "Yes", 1, 'Form responses 1'!R55 = "No", 2, 0, TRUE)</f>
        <v>1</v>
      </c>
      <c r="S55" cm="1">
        <f t="array" ref="S55">_xlfn.IFS('Form responses 1'!S55 = "Severely embarrassed", 1, 'Form responses 1'!S55 = "Somewhat uncomfortable", 2, 'Form responses 1'!S55= "Not affected", 3, 'Form responses 1'!S55= "Indifferent", 4, 0, TRUE)</f>
        <v>1</v>
      </c>
      <c r="T55" cm="1">
        <f t="array" ref="T55">_xlfn.IFS('Form responses 1'!T55 = "Yes", 1, 'Form responses 1'!T55 = "No", 2, 'Form responses 1'!T55 = "Not sure", 3, 0, TRUE)</f>
        <v>1</v>
      </c>
      <c r="U55" cm="1">
        <f t="array" ref="U55">_xlfn.IFS('Form responses 1'!U55 = "Strongly agree", 1, 'Form responses 1'!U55 = "Agree", 2, 'Form responses 1'!U55 = "Neutral", 3, 'Form responses 1'!U55 = "Disagree", 4, 0, TRUE)</f>
        <v>1</v>
      </c>
      <c r="V55" cm="1">
        <f t="array" ref="V55">_xlfn.IFS('Form responses 1'!V55 = "Selected", 1, 'Form responses 1'!V55 = "Not Selected", 0, 0, TRUE)</f>
        <v>1</v>
      </c>
      <c r="W55" cm="1">
        <f t="array" ref="W55">_xlfn.IFS('Form responses 1'!W55 = "Selected", 1, 'Form responses 1'!W55 = "Not Selected", 0, 0, TRUE)</f>
        <v>0</v>
      </c>
      <c r="X55" cm="1">
        <f t="array" ref="X55">_xlfn.IFS('Form responses 1'!X55 = "Selected", 1, 'Form responses 1'!X55 = "Not Selected", 0, 0, TRUE)</f>
        <v>0</v>
      </c>
      <c r="Y55" cm="1">
        <f t="array" ref="Y55">_xlfn.IFS('Form responses 1'!Y55 = "Selected", 1, 'Form responses 1'!Y55 = "Not Selected", 0, 0, TRUE)</f>
        <v>1</v>
      </c>
      <c r="Z55" cm="1">
        <f t="array" ref="Z55">_xlfn.IFS('Form responses 1'!Z55 = "Selected", 1, 'Form responses 1'!Z55 = "Not Selected", 0, 0, TRUE)</f>
        <v>1</v>
      </c>
      <c r="AA55" cm="1">
        <f t="array" ref="AA55">_xlfn.IFS('Form responses 1'!AA55 = "Very effective", 1, 'Form responses 1'!AA55 = "Somewhat effective", 2, 'Form responses 1'!AA55 = "Not effective", 3, 'Form responses 1'!AA55 = "Made it worse", 4, 0, TRUE)</f>
        <v>2</v>
      </c>
      <c r="AB55" cm="1">
        <f t="array" ref="AB55">_xlfn.IFS('Form responses 1'!AB55 = "Yes", 1, 'Form responses 1'!AB55 = "No", 2, 'Form responses 1'!AB55 = "Not sure", 3, 0, TRUE)</f>
        <v>1</v>
      </c>
      <c r="AC55" cm="1">
        <f t="array" ref="AC55">_xlfn.IFS('Form responses 1'!AC55 = "Yes", 1, 'Form responses 1'!AC55 = "No", 2, 0, TRUE)</f>
        <v>1</v>
      </c>
    </row>
    <row r="56" spans="1:29" x14ac:dyDescent="0.2">
      <c r="A56" cm="1">
        <f t="array" ref="A56">_xlfn.IFS('Form responses 1'!A56 = "18-24 years", 1, 'Form responses 1'!A56 = "25-34 years", 2, 'Form responses 1'!A56= "35-44 years", 3, 'Form responses 1'!A56= "45-54 years", 4, 'Form responses 1'!A56= "55-64 years", 5, 'Form responses 1'!A56= "65 &amp; above", 6, 0, TRUE)</f>
        <v>3</v>
      </c>
      <c r="B56" cm="1">
        <f t="array" ref="B56">_xlfn.IFS('Form responses 1'!B56 = "Female", 1, 'Form responses 1'!B56 = "Male", 2, 0, TRUE)</f>
        <v>1</v>
      </c>
      <c r="C56" t="s">
        <v>41</v>
      </c>
      <c r="D56" cm="1">
        <f t="array" ref="D56">_xlfn.IFS('Form responses 1'!D56 = "Once", 1, 'Form responses 1'!D56 = "Twice", 2, 'Form responses 1'!D56= "More than twice", 3, 'Form responses 1'!D56= "Occasionally", 4, 0, TRUE)</f>
        <v>2</v>
      </c>
      <c r="E56" cm="1">
        <f t="array" ref="E56">_xlfn.IFS('Form responses 1'!E56 = "Selected", 1, 'Form responses 1'!E56 = "Not Selected", 0, 0, TRUE)</f>
        <v>1</v>
      </c>
      <c r="F56" cm="1">
        <f t="array" ref="F56">_xlfn.IFS('Form responses 1'!F56 = "Selected", 1, 'Form responses 1'!F56 = "Not Selected", 0, 0, TRUE)</f>
        <v>0</v>
      </c>
      <c r="G56" cm="1">
        <f t="array" ref="G56">_xlfn.IFS('Form responses 1'!G56 = "Selected", 1, 'Form responses 1'!G56 = "Not Selected", 0, 0, TRUE)</f>
        <v>0</v>
      </c>
      <c r="H56" cm="1">
        <f t="array" ref="H56">_xlfn.IFS('Form responses 1'!H56 = "Selected", 1, 'Form responses 1'!H56 = "Not Selected", 0, 0, TRUE)</f>
        <v>0</v>
      </c>
      <c r="I56" cm="1">
        <f t="array" ref="I56">_xlfn.IFS('Form responses 1'!I56 = "Selected", 1, 'Form responses 1'!I56 = "Not Selected", 0, 0, TRUE)</f>
        <v>0</v>
      </c>
      <c r="J56" cm="1">
        <f t="array" ref="J56">_xlfn.IFS('Form responses 1'!J56 = "Selected", 1, 'Form responses 1'!J56 = "Not Selected", 0, 0, TRUE)</f>
        <v>1</v>
      </c>
      <c r="K56" cm="1">
        <f t="array" ref="K56">_xlfn.IFS('Form responses 1'!K56 = "Selected", 1, 'Form responses 1'!K56 = "Not Selected", 0, 0, TRUE)</f>
        <v>1</v>
      </c>
      <c r="L56" cm="1">
        <f t="array" ref="L56">_xlfn.IFS('Form responses 1'!L56 = "Selected", 1, 'Form responses 1'!L56 = "Not Selected", 0, 0, TRUE)</f>
        <v>1</v>
      </c>
      <c r="M56" cm="1">
        <f t="array" ref="M56">_xlfn.IFS('Form responses 1'!M56 = "Selected", 1, 'Form responses 1'!M56 = "Not Selected", 0, 0, TRUE)</f>
        <v>1</v>
      </c>
      <c r="N56" cm="1">
        <f t="array" ref="N56">_xlfn.IFS('Form responses 1'!N56 = "Selected", 1, 'Form responses 1'!N56 = "Not Selected", 0, 0, TRUE)</f>
        <v>1</v>
      </c>
      <c r="O56" cm="1">
        <f t="array" ref="O56">_xlfn.IFS('Form responses 1'!O56 = "Yes", 1, 'Form responses 1'!O56 = "No", 2, 0, TRUE)</f>
        <v>2</v>
      </c>
      <c r="P56" cm="1">
        <f t="array" ref="P56">_xlfn.IFS('Form responses 1'!P56 = "Yes", 1, 'Form responses 1'!P56 = "No", 2, 'Form responses 1'!P56 = "Not sure", 3, 0, TRUE)</f>
        <v>2</v>
      </c>
      <c r="Q56" cm="1">
        <f t="array" ref="Q56">_xlfn.IFS('Form responses 1'!Q56 = "Yes", 1, 'Form responses 1'!Q56 = "No", 2, 0, TRUE)</f>
        <v>1</v>
      </c>
      <c r="R56" cm="1">
        <f t="array" ref="R56">_xlfn.IFS('Form responses 1'!R56 = "Yes", 1, 'Form responses 1'!R56 = "No", 2, 0, TRUE)</f>
        <v>2</v>
      </c>
      <c r="S56" cm="1">
        <f t="array" ref="S56">_xlfn.IFS('Form responses 1'!S56 = "Severely embarrassed", 1, 'Form responses 1'!S56 = "Somewhat uncomfortable", 2, 'Form responses 1'!S56= "Not affected", 3, 'Form responses 1'!S56= "Indifferent", 4, 0, TRUE)</f>
        <v>3</v>
      </c>
      <c r="T56" cm="1">
        <f t="array" ref="T56">_xlfn.IFS('Form responses 1'!T56 = "Yes", 1, 'Form responses 1'!T56 = "No", 2, 'Form responses 1'!T56 = "Not sure", 3, 0, TRUE)</f>
        <v>2</v>
      </c>
      <c r="U56" cm="1">
        <f t="array" ref="U56">_xlfn.IFS('Form responses 1'!U56 = "Strongly agree", 1, 'Form responses 1'!U56 = "Agree", 2, 'Form responses 1'!U56 = "Neutral", 3, 'Form responses 1'!U56 = "Disagree", 4, 0, TRUE)</f>
        <v>1</v>
      </c>
      <c r="V56" cm="1">
        <f t="array" ref="V56">_xlfn.IFS('Form responses 1'!V56 = "Selected", 1, 'Form responses 1'!V56 = "Not Selected", 0, 0, TRUE)</f>
        <v>0</v>
      </c>
      <c r="W56" cm="1">
        <f t="array" ref="W56">_xlfn.IFS('Form responses 1'!W56 = "Selected", 1, 'Form responses 1'!W56 = "Not Selected", 0, 0, TRUE)</f>
        <v>0</v>
      </c>
      <c r="X56" cm="1">
        <f t="array" ref="X56">_xlfn.IFS('Form responses 1'!X56 = "Selected", 1, 'Form responses 1'!X56 = "Not Selected", 0, 0, TRUE)</f>
        <v>0</v>
      </c>
      <c r="Y56" cm="1">
        <f t="array" ref="Y56">_xlfn.IFS('Form responses 1'!Y56 = "Selected", 1, 'Form responses 1'!Y56 = "Not Selected", 0, 0, TRUE)</f>
        <v>0</v>
      </c>
      <c r="Z56" cm="1">
        <f t="array" ref="Z56">_xlfn.IFS('Form responses 1'!Z56 = "Selected", 1, 'Form responses 1'!Z56 = "Not Selected", 0, 0, TRUE)</f>
        <v>1</v>
      </c>
      <c r="AA56" cm="1">
        <f t="array" ref="AA56">_xlfn.IFS('Form responses 1'!AA56 = "Very effective", 1, 'Form responses 1'!AA56 = "Somewhat effective", 2, 'Form responses 1'!AA56 = "Not effective", 3, 'Form responses 1'!AA56 = "Made it worse", 4, 0, TRUE)</f>
        <v>2</v>
      </c>
      <c r="AB56" cm="1">
        <f t="array" ref="AB56">_xlfn.IFS('Form responses 1'!AB56 = "Yes", 1, 'Form responses 1'!AB56 = "No", 2, 'Form responses 1'!AB56 = "Not sure", 3, 0, TRUE)</f>
        <v>1</v>
      </c>
      <c r="AC56" cm="1">
        <f t="array" ref="AC56">_xlfn.IFS('Form responses 1'!AC56 = "Yes", 1, 'Form responses 1'!AC56 = "No", 2, 0, TRUE)</f>
        <v>1</v>
      </c>
    </row>
    <row r="57" spans="1:29" x14ac:dyDescent="0.2">
      <c r="A57" cm="1">
        <f t="array" ref="A57">_xlfn.IFS('Form responses 1'!A57 = "18-24 years", 1, 'Form responses 1'!A57 = "25-34 years", 2, 'Form responses 1'!A57= "35-44 years", 3, 'Form responses 1'!A57= "45-54 years", 4, 'Form responses 1'!A57= "55-64 years", 5, 'Form responses 1'!A57= "65 &amp; above", 6, 0, TRUE)</f>
        <v>3</v>
      </c>
      <c r="B57" cm="1">
        <f t="array" ref="B57">_xlfn.IFS('Form responses 1'!B57 = "Female", 1, 'Form responses 1'!B57 = "Male", 2, 0, TRUE)</f>
        <v>1</v>
      </c>
      <c r="C57" t="s">
        <v>41</v>
      </c>
      <c r="D57" cm="1">
        <f t="array" ref="D57">_xlfn.IFS('Form responses 1'!D57 = "Once", 1, 'Form responses 1'!D57 = "Twice", 2, 'Form responses 1'!D57= "More than twice", 3, 'Form responses 1'!D57= "Occasionally", 4, 0, TRUE)</f>
        <v>2</v>
      </c>
      <c r="E57" cm="1">
        <f t="array" ref="E57">_xlfn.IFS('Form responses 1'!E57 = "Selected", 1, 'Form responses 1'!E57 = "Not Selected", 0, 0, TRUE)</f>
        <v>0</v>
      </c>
      <c r="F57" cm="1">
        <f t="array" ref="F57">_xlfn.IFS('Form responses 1'!F57 = "Selected", 1, 'Form responses 1'!F57 = "Not Selected", 0, 0, TRUE)</f>
        <v>1</v>
      </c>
      <c r="G57" cm="1">
        <f t="array" ref="G57">_xlfn.IFS('Form responses 1'!G57 = "Selected", 1, 'Form responses 1'!G57 = "Not Selected", 0, 0, TRUE)</f>
        <v>0</v>
      </c>
      <c r="H57" cm="1">
        <f t="array" ref="H57">_xlfn.IFS('Form responses 1'!H57 = "Selected", 1, 'Form responses 1'!H57 = "Not Selected", 0, 0, TRUE)</f>
        <v>0</v>
      </c>
      <c r="I57" cm="1">
        <f t="array" ref="I57">_xlfn.IFS('Form responses 1'!I57 = "Selected", 1, 'Form responses 1'!I57 = "Not Selected", 0, 0, TRUE)</f>
        <v>0</v>
      </c>
      <c r="J57" cm="1">
        <f t="array" ref="J57">_xlfn.IFS('Form responses 1'!J57 = "Selected", 1, 'Form responses 1'!J57 = "Not Selected", 0, 0, TRUE)</f>
        <v>0</v>
      </c>
      <c r="K57" cm="1">
        <f t="array" ref="K57">_xlfn.IFS('Form responses 1'!K57 = "Selected", 1, 'Form responses 1'!K57 = "Not Selected", 0, 0, TRUE)</f>
        <v>1</v>
      </c>
      <c r="L57" cm="1">
        <f t="array" ref="L57">_xlfn.IFS('Form responses 1'!L57 = "Selected", 1, 'Form responses 1'!L57 = "Not Selected", 0, 0, TRUE)</f>
        <v>1</v>
      </c>
      <c r="M57" cm="1">
        <f t="array" ref="M57">_xlfn.IFS('Form responses 1'!M57 = "Selected", 1, 'Form responses 1'!M57 = "Not Selected", 0, 0, TRUE)</f>
        <v>1</v>
      </c>
      <c r="N57" cm="1">
        <f t="array" ref="N57">_xlfn.IFS('Form responses 1'!N57 = "Selected", 1, 'Form responses 1'!N57 = "Not Selected", 0, 0, TRUE)</f>
        <v>1</v>
      </c>
      <c r="O57" cm="1">
        <f t="array" ref="O57">_xlfn.IFS('Form responses 1'!O57 = "Yes", 1, 'Form responses 1'!O57 = "No", 2, 0, TRUE)</f>
        <v>2</v>
      </c>
      <c r="P57" cm="1">
        <f t="array" ref="P57">_xlfn.IFS('Form responses 1'!P57 = "Yes", 1, 'Form responses 1'!P57 = "No", 2, 'Form responses 1'!P57 = "Not sure", 3, 0, TRUE)</f>
        <v>3</v>
      </c>
      <c r="Q57" cm="1">
        <f t="array" ref="Q57">_xlfn.IFS('Form responses 1'!Q57 = "Yes", 1, 'Form responses 1'!Q57 = "No", 2, 0, TRUE)</f>
        <v>2</v>
      </c>
      <c r="R57" cm="1">
        <f t="array" ref="R57">_xlfn.IFS('Form responses 1'!R57 = "Yes", 1, 'Form responses 1'!R57 = "No", 2, 0, TRUE)</f>
        <v>2</v>
      </c>
      <c r="S57" cm="1">
        <f t="array" ref="S57">_xlfn.IFS('Form responses 1'!S57 = "Severely embarrassed", 1, 'Form responses 1'!S57 = "Somewhat uncomfortable", 2, 'Form responses 1'!S57= "Not affected", 3, 'Form responses 1'!S57= "Indifferent", 4, 0, TRUE)</f>
        <v>3</v>
      </c>
      <c r="T57" cm="1">
        <f t="array" ref="T57">_xlfn.IFS('Form responses 1'!T57 = "Yes", 1, 'Form responses 1'!T57 = "No", 2, 'Form responses 1'!T57 = "Not sure", 3, 0, TRUE)</f>
        <v>2</v>
      </c>
      <c r="U57" cm="1">
        <f t="array" ref="U57">_xlfn.IFS('Form responses 1'!U57 = "Strongly agree", 1, 'Form responses 1'!U57 = "Agree", 2, 'Form responses 1'!U57 = "Neutral", 3, 'Form responses 1'!U57 = "Disagree", 4, 0, TRUE)</f>
        <v>1</v>
      </c>
      <c r="V57" cm="1">
        <f t="array" ref="V57">_xlfn.IFS('Form responses 1'!V57 = "Selected", 1, 'Form responses 1'!V57 = "Not Selected", 0, 0, TRUE)</f>
        <v>1</v>
      </c>
      <c r="W57" cm="1">
        <f t="array" ref="W57">_xlfn.IFS('Form responses 1'!W57 = "Selected", 1, 'Form responses 1'!W57 = "Not Selected", 0, 0, TRUE)</f>
        <v>0</v>
      </c>
      <c r="X57" cm="1">
        <f t="array" ref="X57">_xlfn.IFS('Form responses 1'!X57 = "Selected", 1, 'Form responses 1'!X57 = "Not Selected", 0, 0, TRUE)</f>
        <v>0</v>
      </c>
      <c r="Y57" cm="1">
        <f t="array" ref="Y57">_xlfn.IFS('Form responses 1'!Y57 = "Selected", 1, 'Form responses 1'!Y57 = "Not Selected", 0, 0, TRUE)</f>
        <v>0</v>
      </c>
      <c r="Z57" cm="1">
        <f t="array" ref="Z57">_xlfn.IFS('Form responses 1'!Z57 = "Selected", 1, 'Form responses 1'!Z57 = "Not Selected", 0, 0, TRUE)</f>
        <v>1</v>
      </c>
      <c r="AA57" cm="1">
        <f t="array" ref="AA57">_xlfn.IFS('Form responses 1'!AA57 = "Very effective", 1, 'Form responses 1'!AA57 = "Somewhat effective", 2, 'Form responses 1'!AA57 = "Not effective", 3, 'Form responses 1'!AA57 = "Made it worse", 4, 0, TRUE)</f>
        <v>1</v>
      </c>
      <c r="AB57" cm="1">
        <f t="array" ref="AB57">_xlfn.IFS('Form responses 1'!AB57 = "Yes", 1, 'Form responses 1'!AB57 = "No", 2, 'Form responses 1'!AB57 = "Not sure", 3, 0, TRUE)</f>
        <v>1</v>
      </c>
      <c r="AC57" cm="1">
        <f t="array" ref="AC57">_xlfn.IFS('Form responses 1'!AC57 = "Yes", 1, 'Form responses 1'!AC57 = "No", 2, 0, TRUE)</f>
        <v>1</v>
      </c>
    </row>
    <row r="58" spans="1:29" x14ac:dyDescent="0.2">
      <c r="A58" cm="1">
        <f t="array" ref="A58">_xlfn.IFS('Form responses 1'!A58 = "18-24 years", 1, 'Form responses 1'!A58 = "25-34 years", 2, 'Form responses 1'!A58= "35-44 years", 3, 'Form responses 1'!A58= "45-54 years", 4, 'Form responses 1'!A58= "55-64 years", 5, 'Form responses 1'!A58= "65 &amp; above", 6, 0, TRUE)</f>
        <v>2</v>
      </c>
      <c r="B58" cm="1">
        <f t="array" ref="B58">_xlfn.IFS('Form responses 1'!B58 = "Female", 1, 'Form responses 1'!B58 = "Male", 2, 0, TRUE)</f>
        <v>2</v>
      </c>
      <c r="C58" t="s">
        <v>51</v>
      </c>
      <c r="D58" cm="1">
        <f t="array" ref="D58">_xlfn.IFS('Form responses 1'!D58 = "Once", 1, 'Form responses 1'!D58 = "Twice", 2, 'Form responses 1'!D58= "More than twice", 3, 'Form responses 1'!D58= "Occasionally", 4, 0, TRUE)</f>
        <v>2</v>
      </c>
      <c r="E58" cm="1">
        <f t="array" ref="E58">_xlfn.IFS('Form responses 1'!E58 = "Selected", 1, 'Form responses 1'!E58 = "Not Selected", 0, 0, TRUE)</f>
        <v>1</v>
      </c>
      <c r="F58" cm="1">
        <f t="array" ref="F58">_xlfn.IFS('Form responses 1'!F58 = "Selected", 1, 'Form responses 1'!F58 = "Not Selected", 0, 0, TRUE)</f>
        <v>1</v>
      </c>
      <c r="G58" cm="1">
        <f t="array" ref="G58">_xlfn.IFS('Form responses 1'!G58 = "Selected", 1, 'Form responses 1'!G58 = "Not Selected", 0, 0, TRUE)</f>
        <v>0</v>
      </c>
      <c r="H58" cm="1">
        <f t="array" ref="H58">_xlfn.IFS('Form responses 1'!H58 = "Selected", 1, 'Form responses 1'!H58 = "Not Selected", 0, 0, TRUE)</f>
        <v>0</v>
      </c>
      <c r="I58" cm="1">
        <f t="array" ref="I58">_xlfn.IFS('Form responses 1'!I58 = "Selected", 1, 'Form responses 1'!I58 = "Not Selected", 0, 0, TRUE)</f>
        <v>0</v>
      </c>
      <c r="J58" cm="1">
        <f t="array" ref="J58">_xlfn.IFS('Form responses 1'!J58 = "Selected", 1, 'Form responses 1'!J58 = "Not Selected", 0, 0, TRUE)</f>
        <v>1</v>
      </c>
      <c r="K58" cm="1">
        <f t="array" ref="K58">_xlfn.IFS('Form responses 1'!K58 = "Selected", 1, 'Form responses 1'!K58 = "Not Selected", 0, 0, TRUE)</f>
        <v>1</v>
      </c>
      <c r="L58" cm="1">
        <f t="array" ref="L58">_xlfn.IFS('Form responses 1'!L58 = "Selected", 1, 'Form responses 1'!L58 = "Not Selected", 0, 0, TRUE)</f>
        <v>0</v>
      </c>
      <c r="M58" cm="1">
        <f t="array" ref="M58">_xlfn.IFS('Form responses 1'!M58 = "Selected", 1, 'Form responses 1'!M58 = "Not Selected", 0, 0, TRUE)</f>
        <v>0</v>
      </c>
      <c r="N58" cm="1">
        <f t="array" ref="N58">_xlfn.IFS('Form responses 1'!N58 = "Selected", 1, 'Form responses 1'!N58 = "Not Selected", 0, 0, TRUE)</f>
        <v>0</v>
      </c>
      <c r="O58" cm="1">
        <f t="array" ref="O58">_xlfn.IFS('Form responses 1'!O58 = "Yes", 1, 'Form responses 1'!O58 = "No", 2, 0, TRUE)</f>
        <v>2</v>
      </c>
      <c r="P58" cm="1">
        <f t="array" ref="P58">_xlfn.IFS('Form responses 1'!P58 = "Yes", 1, 'Form responses 1'!P58 = "No", 2, 'Form responses 1'!P58 = "Not sure", 3, 0, TRUE)</f>
        <v>1</v>
      </c>
      <c r="Q58" cm="1">
        <f t="array" ref="Q58">_xlfn.IFS('Form responses 1'!Q58 = "Yes", 1, 'Form responses 1'!Q58 = "No", 2, 0, TRUE)</f>
        <v>2</v>
      </c>
      <c r="R58" cm="1">
        <f t="array" ref="R58">_xlfn.IFS('Form responses 1'!R58 = "Yes", 1, 'Form responses 1'!R58 = "No", 2, 0, TRUE)</f>
        <v>2</v>
      </c>
      <c r="S58" cm="1">
        <f t="array" ref="S58">_xlfn.IFS('Form responses 1'!S58 = "Severely embarrassed", 1, 'Form responses 1'!S58 = "Somewhat uncomfortable", 2, 'Form responses 1'!S58= "Not affected", 3, 'Form responses 1'!S58= "Indifferent", 4, 0, TRUE)</f>
        <v>3</v>
      </c>
      <c r="T58" cm="1">
        <f t="array" ref="T58">_xlfn.IFS('Form responses 1'!T58 = "Yes", 1, 'Form responses 1'!T58 = "No", 2, 'Form responses 1'!T58 = "Not sure", 3, 0, TRUE)</f>
        <v>2</v>
      </c>
      <c r="U58" cm="1">
        <f t="array" ref="U58">_xlfn.IFS('Form responses 1'!U58 = "Strongly agree", 1, 'Form responses 1'!U58 = "Agree", 2, 'Form responses 1'!U58 = "Neutral", 3, 'Form responses 1'!U58 = "Disagree", 4, 0, TRUE)</f>
        <v>1</v>
      </c>
      <c r="V58" cm="1">
        <f t="array" ref="V58">_xlfn.IFS('Form responses 1'!V58 = "Selected", 1, 'Form responses 1'!V58 = "Not Selected", 0, 0, TRUE)</f>
        <v>1</v>
      </c>
      <c r="W58" cm="1">
        <f t="array" ref="W58">_xlfn.IFS('Form responses 1'!W58 = "Selected", 1, 'Form responses 1'!W58 = "Not Selected", 0, 0, TRUE)</f>
        <v>0</v>
      </c>
      <c r="X58" cm="1">
        <f t="array" ref="X58">_xlfn.IFS('Form responses 1'!X58 = "Selected", 1, 'Form responses 1'!X58 = "Not Selected", 0, 0, TRUE)</f>
        <v>0</v>
      </c>
      <c r="Y58" cm="1">
        <f t="array" ref="Y58">_xlfn.IFS('Form responses 1'!Y58 = "Selected", 1, 'Form responses 1'!Y58 = "Not Selected", 0, 0, TRUE)</f>
        <v>0</v>
      </c>
      <c r="Z58" cm="1">
        <f t="array" ref="Z58">_xlfn.IFS('Form responses 1'!Z58 = "Selected", 1, 'Form responses 1'!Z58 = "Not Selected", 0, 0, TRUE)</f>
        <v>1</v>
      </c>
      <c r="AA58" cm="1">
        <f t="array" ref="AA58">_xlfn.IFS('Form responses 1'!AA58 = "Very effective", 1, 'Form responses 1'!AA58 = "Somewhat effective", 2, 'Form responses 1'!AA58 = "Not effective", 3, 'Form responses 1'!AA58 = "Made it worse", 4, 0, TRUE)</f>
        <v>1</v>
      </c>
      <c r="AB58" cm="1">
        <f t="array" ref="AB58">_xlfn.IFS('Form responses 1'!AB58 = "Yes", 1, 'Form responses 1'!AB58 = "No", 2, 'Form responses 1'!AB58 = "Not sure", 3, 0, TRUE)</f>
        <v>1</v>
      </c>
      <c r="AC58" cm="1">
        <f t="array" ref="AC58">_xlfn.IFS('Form responses 1'!AC58 = "Yes", 1, 'Form responses 1'!AC58 = "No", 2, 0, TRUE)</f>
        <v>1</v>
      </c>
    </row>
    <row r="59" spans="1:29" x14ac:dyDescent="0.2">
      <c r="A59" cm="1">
        <f t="array" ref="A59">_xlfn.IFS('Form responses 1'!A59 = "18-24 years", 1, 'Form responses 1'!A59 = "25-34 years", 2, 'Form responses 1'!A59= "35-44 years", 3, 'Form responses 1'!A59= "45-54 years", 4, 'Form responses 1'!A59= "55-64 years", 5, 'Form responses 1'!A59= "65 &amp; above", 6, 0, TRUE)</f>
        <v>2</v>
      </c>
      <c r="B59" cm="1">
        <f t="array" ref="B59">_xlfn.IFS('Form responses 1'!B59 = "Female", 1, 'Form responses 1'!B59 = "Male", 2, 0, TRUE)</f>
        <v>2</v>
      </c>
      <c r="C59" t="s">
        <v>51</v>
      </c>
      <c r="D59" cm="1">
        <f t="array" ref="D59">_xlfn.IFS('Form responses 1'!D59 = "Once", 1, 'Form responses 1'!D59 = "Twice", 2, 'Form responses 1'!D59= "More than twice", 3, 'Form responses 1'!D59= "Occasionally", 4, 0, TRUE)</f>
        <v>2</v>
      </c>
      <c r="E59" cm="1">
        <f t="array" ref="E59">_xlfn.IFS('Form responses 1'!E59 = "Selected", 1, 'Form responses 1'!E59 = "Not Selected", 0, 0, TRUE)</f>
        <v>1</v>
      </c>
      <c r="F59" cm="1">
        <f t="array" ref="F59">_xlfn.IFS('Form responses 1'!F59 = "Selected", 1, 'Form responses 1'!F59 = "Not Selected", 0, 0, TRUE)</f>
        <v>1</v>
      </c>
      <c r="G59" cm="1">
        <f t="array" ref="G59">_xlfn.IFS('Form responses 1'!G59 = "Selected", 1, 'Form responses 1'!G59 = "Not Selected", 0, 0, TRUE)</f>
        <v>0</v>
      </c>
      <c r="H59" cm="1">
        <f t="array" ref="H59">_xlfn.IFS('Form responses 1'!H59 = "Selected", 1, 'Form responses 1'!H59 = "Not Selected", 0, 0, TRUE)</f>
        <v>0</v>
      </c>
      <c r="I59" cm="1">
        <f t="array" ref="I59">_xlfn.IFS('Form responses 1'!I59 = "Selected", 1, 'Form responses 1'!I59 = "Not Selected", 0, 0, TRUE)</f>
        <v>0</v>
      </c>
      <c r="J59" cm="1">
        <f t="array" ref="J59">_xlfn.IFS('Form responses 1'!J59 = "Selected", 1, 'Form responses 1'!J59 = "Not Selected", 0, 0, TRUE)</f>
        <v>1</v>
      </c>
      <c r="K59" cm="1">
        <f t="array" ref="K59">_xlfn.IFS('Form responses 1'!K59 = "Selected", 1, 'Form responses 1'!K59 = "Not Selected", 0, 0, TRUE)</f>
        <v>0</v>
      </c>
      <c r="L59" cm="1">
        <f t="array" ref="L59">_xlfn.IFS('Form responses 1'!L59 = "Selected", 1, 'Form responses 1'!L59 = "Not Selected", 0, 0, TRUE)</f>
        <v>0</v>
      </c>
      <c r="M59" cm="1">
        <f t="array" ref="M59">_xlfn.IFS('Form responses 1'!M59 = "Selected", 1, 'Form responses 1'!M59 = "Not Selected", 0, 0, TRUE)</f>
        <v>0</v>
      </c>
      <c r="N59" cm="1">
        <f t="array" ref="N59">_xlfn.IFS('Form responses 1'!N59 = "Selected", 1, 'Form responses 1'!N59 = "Not Selected", 0, 0, TRUE)</f>
        <v>0</v>
      </c>
      <c r="O59" cm="1">
        <f t="array" ref="O59">_xlfn.IFS('Form responses 1'!O59 = "Yes", 1, 'Form responses 1'!O59 = "No", 2, 0, TRUE)</f>
        <v>1</v>
      </c>
      <c r="P59" cm="1">
        <f t="array" ref="P59">_xlfn.IFS('Form responses 1'!P59 = "Yes", 1, 'Form responses 1'!P59 = "No", 2, 'Form responses 1'!P59 = "Not sure", 3, 0, TRUE)</f>
        <v>1</v>
      </c>
      <c r="Q59" cm="1">
        <f t="array" ref="Q59">_xlfn.IFS('Form responses 1'!Q59 = "Yes", 1, 'Form responses 1'!Q59 = "No", 2, 0, TRUE)</f>
        <v>2</v>
      </c>
      <c r="R59" cm="1">
        <f t="array" ref="R59">_xlfn.IFS('Form responses 1'!R59 = "Yes", 1, 'Form responses 1'!R59 = "No", 2, 0, TRUE)</f>
        <v>2</v>
      </c>
      <c r="S59" cm="1">
        <f t="array" ref="S59">_xlfn.IFS('Form responses 1'!S59 = "Severely embarrassed", 1, 'Form responses 1'!S59 = "Somewhat uncomfortable", 2, 'Form responses 1'!S59= "Not affected", 3, 'Form responses 1'!S59= "Indifferent", 4, 0, TRUE)</f>
        <v>3</v>
      </c>
      <c r="T59" cm="1">
        <f t="array" ref="T59">_xlfn.IFS('Form responses 1'!T59 = "Yes", 1, 'Form responses 1'!T59 = "No", 2, 'Form responses 1'!T59 = "Not sure", 3, 0, TRUE)</f>
        <v>2</v>
      </c>
      <c r="U59" cm="1">
        <f t="array" ref="U59">_xlfn.IFS('Form responses 1'!U59 = "Strongly agree", 1, 'Form responses 1'!U59 = "Agree", 2, 'Form responses 1'!U59 = "Neutral", 3, 'Form responses 1'!U59 = "Disagree", 4, 0, TRUE)</f>
        <v>2</v>
      </c>
      <c r="V59" cm="1">
        <f t="array" ref="V59">_xlfn.IFS('Form responses 1'!V59 = "Selected", 1, 'Form responses 1'!V59 = "Not Selected", 0, 0, TRUE)</f>
        <v>1</v>
      </c>
      <c r="W59" cm="1">
        <f t="array" ref="W59">_xlfn.IFS('Form responses 1'!W59 = "Selected", 1, 'Form responses 1'!W59 = "Not Selected", 0, 0, TRUE)</f>
        <v>0</v>
      </c>
      <c r="X59" cm="1">
        <f t="array" ref="X59">_xlfn.IFS('Form responses 1'!X59 = "Selected", 1, 'Form responses 1'!X59 = "Not Selected", 0, 0, TRUE)</f>
        <v>1</v>
      </c>
      <c r="Y59" cm="1">
        <f t="array" ref="Y59">_xlfn.IFS('Form responses 1'!Y59 = "Selected", 1, 'Form responses 1'!Y59 = "Not Selected", 0, 0, TRUE)</f>
        <v>0</v>
      </c>
      <c r="Z59" cm="1">
        <f t="array" ref="Z59">_xlfn.IFS('Form responses 1'!Z59 = "Selected", 1, 'Form responses 1'!Z59 = "Not Selected", 0, 0, TRUE)</f>
        <v>1</v>
      </c>
      <c r="AA59" cm="1">
        <f t="array" ref="AA59">_xlfn.IFS('Form responses 1'!AA59 = "Very effective", 1, 'Form responses 1'!AA59 = "Somewhat effective", 2, 'Form responses 1'!AA59 = "Not effective", 3, 'Form responses 1'!AA59 = "Made it worse", 4, 0, TRUE)</f>
        <v>2</v>
      </c>
      <c r="AB59" cm="1">
        <f t="array" ref="AB59">_xlfn.IFS('Form responses 1'!AB59 = "Yes", 1, 'Form responses 1'!AB59 = "No", 2, 'Form responses 1'!AB59 = "Not sure", 3, 0, TRUE)</f>
        <v>2</v>
      </c>
      <c r="AC59" cm="1">
        <f t="array" ref="AC59">_xlfn.IFS('Form responses 1'!AC59 = "Yes", 1, 'Form responses 1'!AC59 = "No", 2, 0, TRUE)</f>
        <v>1</v>
      </c>
    </row>
    <row r="60" spans="1:29" x14ac:dyDescent="0.2">
      <c r="A60" cm="1">
        <f t="array" ref="A60">_xlfn.IFS('Form responses 1'!A60 = "18-24 years", 1, 'Form responses 1'!A60 = "25-34 years", 2, 'Form responses 1'!A60= "35-44 years", 3, 'Form responses 1'!A60= "45-54 years", 4, 'Form responses 1'!A60= "55-64 years", 5, 'Form responses 1'!A60= "65 &amp; above", 6, 0, TRUE)</f>
        <v>2</v>
      </c>
      <c r="B60" cm="1">
        <f t="array" ref="B60">_xlfn.IFS('Form responses 1'!B60 = "Female", 1, 'Form responses 1'!B60 = "Male", 2, 0, TRUE)</f>
        <v>1</v>
      </c>
      <c r="C60" t="s">
        <v>68</v>
      </c>
      <c r="D60" cm="1">
        <f t="array" ref="D60">_xlfn.IFS('Form responses 1'!D60 = "Once", 1, 'Form responses 1'!D60 = "Twice", 2, 'Form responses 1'!D60= "More than twice", 3, 'Form responses 1'!D60= "Occasionally", 4, 0, TRUE)</f>
        <v>2</v>
      </c>
      <c r="E60" cm="1">
        <f t="array" ref="E60">_xlfn.IFS('Form responses 1'!E60 = "Selected", 1, 'Form responses 1'!E60 = "Not Selected", 0, 0, TRUE)</f>
        <v>0</v>
      </c>
      <c r="F60" cm="1">
        <f t="array" ref="F60">_xlfn.IFS('Form responses 1'!F60 = "Selected", 1, 'Form responses 1'!F60 = "Not Selected", 0, 0, TRUE)</f>
        <v>1</v>
      </c>
      <c r="G60" cm="1">
        <f t="array" ref="G60">_xlfn.IFS('Form responses 1'!G60 = "Selected", 1, 'Form responses 1'!G60 = "Not Selected", 0, 0, TRUE)</f>
        <v>0</v>
      </c>
      <c r="H60" cm="1">
        <f t="array" ref="H60">_xlfn.IFS('Form responses 1'!H60 = "Selected", 1, 'Form responses 1'!H60 = "Not Selected", 0, 0, TRUE)</f>
        <v>0</v>
      </c>
      <c r="I60" cm="1">
        <f t="array" ref="I60">_xlfn.IFS('Form responses 1'!I60 = "Selected", 1, 'Form responses 1'!I60 = "Not Selected", 0, 0, TRUE)</f>
        <v>0</v>
      </c>
      <c r="J60" cm="1">
        <f t="array" ref="J60">_xlfn.IFS('Form responses 1'!J60 = "Selected", 1, 'Form responses 1'!J60 = "Not Selected", 0, 0, TRUE)</f>
        <v>0</v>
      </c>
      <c r="K60" cm="1">
        <f t="array" ref="K60">_xlfn.IFS('Form responses 1'!K60 = "Selected", 1, 'Form responses 1'!K60 = "Not Selected", 0, 0, TRUE)</f>
        <v>0</v>
      </c>
      <c r="L60" cm="1">
        <f t="array" ref="L60">_xlfn.IFS('Form responses 1'!L60 = "Selected", 1, 'Form responses 1'!L60 = "Not Selected", 0, 0, TRUE)</f>
        <v>0</v>
      </c>
      <c r="M60" cm="1">
        <f t="array" ref="M60">_xlfn.IFS('Form responses 1'!M60 = "Selected", 1, 'Form responses 1'!M60 = "Not Selected", 0, 0, TRUE)</f>
        <v>0</v>
      </c>
      <c r="N60" cm="1">
        <f t="array" ref="N60">_xlfn.IFS('Form responses 1'!N60 = "Selected", 1, 'Form responses 1'!N60 = "Not Selected", 0, 0, TRUE)</f>
        <v>1</v>
      </c>
      <c r="O60" cm="1">
        <f t="array" ref="O60">_xlfn.IFS('Form responses 1'!O60 = "Yes", 1, 'Form responses 1'!O60 = "No", 2, 0, TRUE)</f>
        <v>2</v>
      </c>
      <c r="P60" cm="1">
        <f t="array" ref="P60">_xlfn.IFS('Form responses 1'!P60 = "Yes", 1, 'Form responses 1'!P60 = "No", 2, 'Form responses 1'!P60 = "Not sure", 3, 0, TRUE)</f>
        <v>2</v>
      </c>
      <c r="Q60" cm="1">
        <f t="array" ref="Q60">_xlfn.IFS('Form responses 1'!Q60 = "Yes", 1, 'Form responses 1'!Q60 = "No", 2, 0, TRUE)</f>
        <v>2</v>
      </c>
      <c r="R60" cm="1">
        <f t="array" ref="R60">_xlfn.IFS('Form responses 1'!R60 = "Yes", 1, 'Form responses 1'!R60 = "No", 2, 0, TRUE)</f>
        <v>2</v>
      </c>
      <c r="S60" cm="1">
        <f t="array" ref="S60">_xlfn.IFS('Form responses 1'!S60 = "Severely embarrassed", 1, 'Form responses 1'!S60 = "Somewhat uncomfortable", 2, 'Form responses 1'!S60= "Not affected", 3, 'Form responses 1'!S60= "Indifferent", 4, 0, TRUE)</f>
        <v>3</v>
      </c>
      <c r="T60" cm="1">
        <f t="array" ref="T60">_xlfn.IFS('Form responses 1'!T60 = "Yes", 1, 'Form responses 1'!T60 = "No", 2, 'Form responses 1'!T60 = "Not sure", 3, 0, TRUE)</f>
        <v>3</v>
      </c>
      <c r="U60" cm="1">
        <f t="array" ref="U60">_xlfn.IFS('Form responses 1'!U60 = "Strongly agree", 1, 'Form responses 1'!U60 = "Agree", 2, 'Form responses 1'!U60 = "Neutral", 3, 'Form responses 1'!U60 = "Disagree", 4, 0, TRUE)</f>
        <v>2</v>
      </c>
      <c r="V60" cm="1">
        <f t="array" ref="V60">_xlfn.IFS('Form responses 1'!V60 = "Selected", 1, 'Form responses 1'!V60 = "Not Selected", 0, 0, TRUE)</f>
        <v>1</v>
      </c>
      <c r="W60" cm="1">
        <f t="array" ref="W60">_xlfn.IFS('Form responses 1'!W60 = "Selected", 1, 'Form responses 1'!W60 = "Not Selected", 0, 0, TRUE)</f>
        <v>0</v>
      </c>
      <c r="X60" cm="1">
        <f t="array" ref="X60">_xlfn.IFS('Form responses 1'!X60 = "Selected", 1, 'Form responses 1'!X60 = "Not Selected", 0, 0, TRUE)</f>
        <v>0</v>
      </c>
      <c r="Y60" cm="1">
        <f t="array" ref="Y60">_xlfn.IFS('Form responses 1'!Y60 = "Selected", 1, 'Form responses 1'!Y60 = "Not Selected", 0, 0, TRUE)</f>
        <v>0</v>
      </c>
      <c r="Z60" cm="1">
        <f t="array" ref="Z60">_xlfn.IFS('Form responses 1'!Z60 = "Selected", 1, 'Form responses 1'!Z60 = "Not Selected", 0, 0, TRUE)</f>
        <v>1</v>
      </c>
      <c r="AA60" cm="1">
        <f t="array" ref="AA60">_xlfn.IFS('Form responses 1'!AA60 = "Very effective", 1, 'Form responses 1'!AA60 = "Somewhat effective", 2, 'Form responses 1'!AA60 = "Not effective", 3, 'Form responses 1'!AA60 = "Made it worse", 4, 0, TRUE)</f>
        <v>1</v>
      </c>
      <c r="AB60" cm="1">
        <f t="array" ref="AB60">_xlfn.IFS('Form responses 1'!AB60 = "Yes", 1, 'Form responses 1'!AB60 = "No", 2, 'Form responses 1'!AB60 = "Not sure", 3, 0, TRUE)</f>
        <v>1</v>
      </c>
      <c r="AC60" cm="1">
        <f t="array" ref="AC60">_xlfn.IFS('Form responses 1'!AC60 = "Yes", 1, 'Form responses 1'!AC60 = "No", 2, 0, TRUE)</f>
        <v>1</v>
      </c>
    </row>
    <row r="61" spans="1:29" x14ac:dyDescent="0.2">
      <c r="A61" cm="1">
        <f t="array" ref="A61">_xlfn.IFS('Form responses 1'!A61 = "18-24 years", 1, 'Form responses 1'!A61 = "25-34 years", 2, 'Form responses 1'!A61= "35-44 years", 3, 'Form responses 1'!A61= "45-54 years", 4, 'Form responses 1'!A61= "55-64 years", 5, 'Form responses 1'!A61= "65 &amp; above", 6, 0, TRUE)</f>
        <v>1</v>
      </c>
      <c r="B61" cm="1">
        <f t="array" ref="B61">_xlfn.IFS('Form responses 1'!B61 = "Female", 1, 'Form responses 1'!B61 = "Male", 2, 0, TRUE)</f>
        <v>2</v>
      </c>
      <c r="C61" t="s">
        <v>35</v>
      </c>
      <c r="D61" cm="1">
        <f t="array" ref="D61">_xlfn.IFS('Form responses 1'!D61 = "Once", 1, 'Form responses 1'!D61 = "Twice", 2, 'Form responses 1'!D61= "More than twice", 3, 'Form responses 1'!D61= "Occasionally", 4, 0, TRUE)</f>
        <v>2</v>
      </c>
      <c r="E61" cm="1">
        <f t="array" ref="E61">_xlfn.IFS('Form responses 1'!E61 = "Selected", 1, 'Form responses 1'!E61 = "Not Selected", 0, 0, TRUE)</f>
        <v>1</v>
      </c>
      <c r="F61" cm="1">
        <f t="array" ref="F61">_xlfn.IFS('Form responses 1'!F61 = "Selected", 1, 'Form responses 1'!F61 = "Not Selected", 0, 0, TRUE)</f>
        <v>0</v>
      </c>
      <c r="G61" cm="1">
        <f t="array" ref="G61">_xlfn.IFS('Form responses 1'!G61 = "Selected", 1, 'Form responses 1'!G61 = "Not Selected", 0, 0, TRUE)</f>
        <v>0</v>
      </c>
      <c r="H61" cm="1">
        <f t="array" ref="H61">_xlfn.IFS('Form responses 1'!H61 = "Selected", 1, 'Form responses 1'!H61 = "Not Selected", 0, 0, TRUE)</f>
        <v>0</v>
      </c>
      <c r="I61" cm="1">
        <f t="array" ref="I61">_xlfn.IFS('Form responses 1'!I61 = "Selected", 1, 'Form responses 1'!I61 = "Not Selected", 0, 0, TRUE)</f>
        <v>0</v>
      </c>
      <c r="J61" cm="1">
        <f t="array" ref="J61">_xlfn.IFS('Form responses 1'!J61 = "Selected", 1, 'Form responses 1'!J61 = "Not Selected", 0, 0, TRUE)</f>
        <v>0</v>
      </c>
      <c r="K61" cm="1">
        <f t="array" ref="K61">_xlfn.IFS('Form responses 1'!K61 = "Selected", 1, 'Form responses 1'!K61 = "Not Selected", 0, 0, TRUE)</f>
        <v>1</v>
      </c>
      <c r="L61" cm="1">
        <f t="array" ref="L61">_xlfn.IFS('Form responses 1'!L61 = "Selected", 1, 'Form responses 1'!L61 = "Not Selected", 0, 0, TRUE)</f>
        <v>0</v>
      </c>
      <c r="M61" cm="1">
        <f t="array" ref="M61">_xlfn.IFS('Form responses 1'!M61 = "Selected", 1, 'Form responses 1'!M61 = "Not Selected", 0, 0, TRUE)</f>
        <v>0</v>
      </c>
      <c r="N61" cm="1">
        <f t="array" ref="N61">_xlfn.IFS('Form responses 1'!N61 = "Selected", 1, 'Form responses 1'!N61 = "Not Selected", 0, 0, TRUE)</f>
        <v>0</v>
      </c>
      <c r="O61" cm="1">
        <f t="array" ref="O61">_xlfn.IFS('Form responses 1'!O61 = "Yes", 1, 'Form responses 1'!O61 = "No", 2, 0, TRUE)</f>
        <v>2</v>
      </c>
      <c r="P61" cm="1">
        <f t="array" ref="P61">_xlfn.IFS('Form responses 1'!P61 = "Yes", 1, 'Form responses 1'!P61 = "No", 2, 'Form responses 1'!P61 = "Not sure", 3, 0, TRUE)</f>
        <v>2</v>
      </c>
      <c r="Q61" cm="1">
        <f t="array" ref="Q61">_xlfn.IFS('Form responses 1'!Q61 = "Yes", 1, 'Form responses 1'!Q61 = "No", 2, 0, TRUE)</f>
        <v>2</v>
      </c>
      <c r="R61" cm="1">
        <f t="array" ref="R61">_xlfn.IFS('Form responses 1'!R61 = "Yes", 1, 'Form responses 1'!R61 = "No", 2, 0, TRUE)</f>
        <v>2</v>
      </c>
      <c r="S61" cm="1">
        <f t="array" ref="S61">_xlfn.IFS('Form responses 1'!S61 = "Severely embarrassed", 1, 'Form responses 1'!S61 = "Somewhat uncomfortable", 2, 'Form responses 1'!S61= "Not affected", 3, 'Form responses 1'!S61= "Indifferent", 4, 0, TRUE)</f>
        <v>3</v>
      </c>
      <c r="T61" cm="1">
        <f t="array" ref="T61">_xlfn.IFS('Form responses 1'!T61 = "Yes", 1, 'Form responses 1'!T61 = "No", 2, 'Form responses 1'!T61 = "Not sure", 3, 0, TRUE)</f>
        <v>2</v>
      </c>
      <c r="U61" cm="1">
        <f t="array" ref="U61">_xlfn.IFS('Form responses 1'!U61 = "Strongly agree", 1, 'Form responses 1'!U61 = "Agree", 2, 'Form responses 1'!U61 = "Neutral", 3, 'Form responses 1'!U61 = "Disagree", 4, 0, TRUE)</f>
        <v>2</v>
      </c>
      <c r="V61" cm="1">
        <f t="array" ref="V61">_xlfn.IFS('Form responses 1'!V61 = "Selected", 1, 'Form responses 1'!V61 = "Not Selected", 0, 0, TRUE)</f>
        <v>1</v>
      </c>
      <c r="W61" cm="1">
        <f t="array" ref="W61">_xlfn.IFS('Form responses 1'!W61 = "Selected", 1, 'Form responses 1'!W61 = "Not Selected", 0, 0, TRUE)</f>
        <v>0</v>
      </c>
      <c r="X61" cm="1">
        <f t="array" ref="X61">_xlfn.IFS('Form responses 1'!X61 = "Selected", 1, 'Form responses 1'!X61 = "Not Selected", 0, 0, TRUE)</f>
        <v>0</v>
      </c>
      <c r="Y61" cm="1">
        <f t="array" ref="Y61">_xlfn.IFS('Form responses 1'!Y61 = "Selected", 1, 'Form responses 1'!Y61 = "Not Selected", 0, 0, TRUE)</f>
        <v>0</v>
      </c>
      <c r="Z61" cm="1">
        <f t="array" ref="Z61">_xlfn.IFS('Form responses 1'!Z61 = "Selected", 1, 'Form responses 1'!Z61 = "Not Selected", 0, 0, TRUE)</f>
        <v>0</v>
      </c>
      <c r="AA61" cm="1">
        <f t="array" ref="AA61">_xlfn.IFS('Form responses 1'!AA61 = "Very effective", 1, 'Form responses 1'!AA61 = "Somewhat effective", 2, 'Form responses 1'!AA61 = "Not effective", 3, 'Form responses 1'!AA61 = "Made it worse", 4, 0, TRUE)</f>
        <v>1</v>
      </c>
      <c r="AB61" cm="1">
        <f t="array" ref="AB61">_xlfn.IFS('Form responses 1'!AB61 = "Yes", 1, 'Form responses 1'!AB61 = "No", 2, 'Form responses 1'!AB61 = "Not sure", 3, 0, TRUE)</f>
        <v>1</v>
      </c>
      <c r="AC61" cm="1">
        <f t="array" ref="AC61">_xlfn.IFS('Form responses 1'!AC61 = "Yes", 1, 'Form responses 1'!AC61 = "No", 2, 0, TRUE)</f>
        <v>1</v>
      </c>
    </row>
    <row r="62" spans="1:29" x14ac:dyDescent="0.2">
      <c r="A62" cm="1">
        <f t="array" ref="A62">_xlfn.IFS('Form responses 1'!A62 = "18-24 years", 1, 'Form responses 1'!A62 = "25-34 years", 2, 'Form responses 1'!A62= "35-44 years", 3, 'Form responses 1'!A62= "45-54 years", 4, 'Form responses 1'!A62= "55-64 years", 5, 'Form responses 1'!A62= "65 &amp; above", 6, 0, TRUE)</f>
        <v>1</v>
      </c>
      <c r="B62" cm="1">
        <f t="array" ref="B62">_xlfn.IFS('Form responses 1'!B62 = "Female", 1, 'Form responses 1'!B62 = "Male", 2, 0, TRUE)</f>
        <v>1</v>
      </c>
      <c r="C62" t="s">
        <v>69</v>
      </c>
      <c r="D62" cm="1">
        <f t="array" ref="D62">_xlfn.IFS('Form responses 1'!D62 = "Once", 1, 'Form responses 1'!D62 = "Twice", 2, 'Form responses 1'!D62= "More than twice", 3, 'Form responses 1'!D62= "Occasionally", 4, 0, TRUE)</f>
        <v>2</v>
      </c>
      <c r="E62" cm="1">
        <f t="array" ref="E62">_xlfn.IFS('Form responses 1'!E62 = "Selected", 1, 'Form responses 1'!E62 = "Not Selected", 0, 0, TRUE)</f>
        <v>1</v>
      </c>
      <c r="F62" cm="1">
        <f t="array" ref="F62">_xlfn.IFS('Form responses 1'!F62 = "Selected", 1, 'Form responses 1'!F62 = "Not Selected", 0, 0, TRUE)</f>
        <v>1</v>
      </c>
      <c r="G62" cm="1">
        <f t="array" ref="G62">_xlfn.IFS('Form responses 1'!G62 = "Selected", 1, 'Form responses 1'!G62 = "Not Selected", 0, 0, TRUE)</f>
        <v>0</v>
      </c>
      <c r="H62" cm="1">
        <f t="array" ref="H62">_xlfn.IFS('Form responses 1'!H62 = "Selected", 1, 'Form responses 1'!H62 = "Not Selected", 0, 0, TRUE)</f>
        <v>0</v>
      </c>
      <c r="I62" cm="1">
        <f t="array" ref="I62">_xlfn.IFS('Form responses 1'!I62 = "Selected", 1, 'Form responses 1'!I62 = "Not Selected", 0, 0, TRUE)</f>
        <v>0</v>
      </c>
      <c r="J62" cm="1">
        <f t="array" ref="J62">_xlfn.IFS('Form responses 1'!J62 = "Selected", 1, 'Form responses 1'!J62 = "Not Selected", 0, 0, TRUE)</f>
        <v>0</v>
      </c>
      <c r="K62" cm="1">
        <f t="array" ref="K62">_xlfn.IFS('Form responses 1'!K62 = "Selected", 1, 'Form responses 1'!K62 = "Not Selected", 0, 0, TRUE)</f>
        <v>0</v>
      </c>
      <c r="L62" cm="1">
        <f t="array" ref="L62">_xlfn.IFS('Form responses 1'!L62 = "Selected", 1, 'Form responses 1'!L62 = "Not Selected", 0, 0, TRUE)</f>
        <v>1</v>
      </c>
      <c r="M62" cm="1">
        <f t="array" ref="M62">_xlfn.IFS('Form responses 1'!M62 = "Selected", 1, 'Form responses 1'!M62 = "Not Selected", 0, 0, TRUE)</f>
        <v>1</v>
      </c>
      <c r="N62" cm="1">
        <f t="array" ref="N62">_xlfn.IFS('Form responses 1'!N62 = "Selected", 1, 'Form responses 1'!N62 = "Not Selected", 0, 0, TRUE)</f>
        <v>1</v>
      </c>
      <c r="O62" cm="1">
        <f t="array" ref="O62">_xlfn.IFS('Form responses 1'!O62 = "Yes", 1, 'Form responses 1'!O62 = "No", 2, 0, TRUE)</f>
        <v>2</v>
      </c>
      <c r="P62" cm="1">
        <f t="array" ref="P62">_xlfn.IFS('Form responses 1'!P62 = "Yes", 1, 'Form responses 1'!P62 = "No", 2, 'Form responses 1'!P62 = "Not sure", 3, 0, TRUE)</f>
        <v>2</v>
      </c>
      <c r="Q62" cm="1">
        <f t="array" ref="Q62">_xlfn.IFS('Form responses 1'!Q62 = "Yes", 1, 'Form responses 1'!Q62 = "No", 2, 0, TRUE)</f>
        <v>1</v>
      </c>
      <c r="R62" cm="1">
        <f t="array" ref="R62">_xlfn.IFS('Form responses 1'!R62 = "Yes", 1, 'Form responses 1'!R62 = "No", 2, 0, TRUE)</f>
        <v>2</v>
      </c>
      <c r="S62" cm="1">
        <f t="array" ref="S62">_xlfn.IFS('Form responses 1'!S62 = "Severely embarrassed", 1, 'Form responses 1'!S62 = "Somewhat uncomfortable", 2, 'Form responses 1'!S62= "Not affected", 3, 'Form responses 1'!S62= "Indifferent", 4, 0, TRUE)</f>
        <v>3</v>
      </c>
      <c r="T62" cm="1">
        <f t="array" ref="T62">_xlfn.IFS('Form responses 1'!T62 = "Yes", 1, 'Form responses 1'!T62 = "No", 2, 'Form responses 1'!T62 = "Not sure", 3, 0, TRUE)</f>
        <v>1</v>
      </c>
      <c r="U62" cm="1">
        <f t="array" ref="U62">_xlfn.IFS('Form responses 1'!U62 = "Strongly agree", 1, 'Form responses 1'!U62 = "Agree", 2, 'Form responses 1'!U62 = "Neutral", 3, 'Form responses 1'!U62 = "Disagree", 4, 0, TRUE)</f>
        <v>1</v>
      </c>
      <c r="V62" cm="1">
        <f t="array" ref="V62">_xlfn.IFS('Form responses 1'!V62 = "Selected", 1, 'Form responses 1'!V62 = "Not Selected", 0, 0, TRUE)</f>
        <v>1</v>
      </c>
      <c r="W62" cm="1">
        <f t="array" ref="W62">_xlfn.IFS('Form responses 1'!W62 = "Selected", 1, 'Form responses 1'!W62 = "Not Selected", 0, 0, TRUE)</f>
        <v>0</v>
      </c>
      <c r="X62" cm="1">
        <f t="array" ref="X62">_xlfn.IFS('Form responses 1'!X62 = "Selected", 1, 'Form responses 1'!X62 = "Not Selected", 0, 0, TRUE)</f>
        <v>0</v>
      </c>
      <c r="Y62" cm="1">
        <f t="array" ref="Y62">_xlfn.IFS('Form responses 1'!Y62 = "Selected", 1, 'Form responses 1'!Y62 = "Not Selected", 0, 0, TRUE)</f>
        <v>0</v>
      </c>
      <c r="Z62" cm="1">
        <f t="array" ref="Z62">_xlfn.IFS('Form responses 1'!Z62 = "Selected", 1, 'Form responses 1'!Z62 = "Not Selected", 0, 0, TRUE)</f>
        <v>1</v>
      </c>
      <c r="AA62" cm="1">
        <f t="array" ref="AA62">_xlfn.IFS('Form responses 1'!AA62 = "Very effective", 1, 'Form responses 1'!AA62 = "Somewhat effective", 2, 'Form responses 1'!AA62 = "Not effective", 3, 'Form responses 1'!AA62 = "Made it worse", 4, 0, TRUE)</f>
        <v>1</v>
      </c>
      <c r="AB62" cm="1">
        <f t="array" ref="AB62">_xlfn.IFS('Form responses 1'!AB62 = "Yes", 1, 'Form responses 1'!AB62 = "No", 2, 'Form responses 1'!AB62 = "Not sure", 3, 0, TRUE)</f>
        <v>2</v>
      </c>
      <c r="AC62" cm="1">
        <f t="array" ref="AC62">_xlfn.IFS('Form responses 1'!AC62 = "Yes", 1, 'Form responses 1'!AC62 = "No", 2, 0, TRUE)</f>
        <v>2</v>
      </c>
    </row>
    <row r="63" spans="1:29" x14ac:dyDescent="0.2">
      <c r="A63" cm="1">
        <f t="array" ref="A63">_xlfn.IFS('Form responses 1'!A63 = "18-24 years", 1, 'Form responses 1'!A63 = "25-34 years", 2, 'Form responses 1'!A63= "35-44 years", 3, 'Form responses 1'!A63= "45-54 years", 4, 'Form responses 1'!A63= "55-64 years", 5, 'Form responses 1'!A63= "65 &amp; above", 6, 0, TRUE)</f>
        <v>2</v>
      </c>
      <c r="B63" cm="1">
        <f t="array" ref="B63">_xlfn.IFS('Form responses 1'!B63 = "Female", 1, 'Form responses 1'!B63 = "Male", 2, 0, TRUE)</f>
        <v>1</v>
      </c>
      <c r="C63" t="s">
        <v>70</v>
      </c>
      <c r="D63" cm="1">
        <f t="array" ref="D63">_xlfn.IFS('Form responses 1'!D63 = "Once", 1, 'Form responses 1'!D63 = "Twice", 2, 'Form responses 1'!D63= "More than twice", 3, 'Form responses 1'!D63= "Occasionally", 4, 0, TRUE)</f>
        <v>1</v>
      </c>
      <c r="E63" cm="1">
        <f t="array" ref="E63">_xlfn.IFS('Form responses 1'!E63 = "Selected", 1, 'Form responses 1'!E63 = "Not Selected", 0, 0, TRUE)</f>
        <v>0</v>
      </c>
      <c r="F63" cm="1">
        <f t="array" ref="F63">_xlfn.IFS('Form responses 1'!F63 = "Selected", 1, 'Form responses 1'!F63 = "Not Selected", 0, 0, TRUE)</f>
        <v>1</v>
      </c>
      <c r="G63" cm="1">
        <f t="array" ref="G63">_xlfn.IFS('Form responses 1'!G63 = "Selected", 1, 'Form responses 1'!G63 = "Not Selected", 0, 0, TRUE)</f>
        <v>0</v>
      </c>
      <c r="H63" cm="1">
        <f t="array" ref="H63">_xlfn.IFS('Form responses 1'!H63 = "Selected", 1, 'Form responses 1'!H63 = "Not Selected", 0, 0, TRUE)</f>
        <v>0</v>
      </c>
      <c r="I63" cm="1">
        <f t="array" ref="I63">_xlfn.IFS('Form responses 1'!I63 = "Selected", 1, 'Form responses 1'!I63 = "Not Selected", 0, 0, TRUE)</f>
        <v>0</v>
      </c>
      <c r="J63" cm="1">
        <f t="array" ref="J63">_xlfn.IFS('Form responses 1'!J63 = "Selected", 1, 'Form responses 1'!J63 = "Not Selected", 0, 0, TRUE)</f>
        <v>0</v>
      </c>
      <c r="K63" cm="1">
        <f t="array" ref="K63">_xlfn.IFS('Form responses 1'!K63 = "Selected", 1, 'Form responses 1'!K63 = "Not Selected", 0, 0, TRUE)</f>
        <v>1</v>
      </c>
      <c r="L63" cm="1">
        <f t="array" ref="L63">_xlfn.IFS('Form responses 1'!L63 = "Selected", 1, 'Form responses 1'!L63 = "Not Selected", 0, 0, TRUE)</f>
        <v>0</v>
      </c>
      <c r="M63" cm="1">
        <f t="array" ref="M63">_xlfn.IFS('Form responses 1'!M63 = "Selected", 1, 'Form responses 1'!M63 = "Not Selected", 0, 0, TRUE)</f>
        <v>0</v>
      </c>
      <c r="N63" cm="1">
        <f t="array" ref="N63">_xlfn.IFS('Form responses 1'!N63 = "Selected", 1, 'Form responses 1'!N63 = "Not Selected", 0, 0, TRUE)</f>
        <v>0</v>
      </c>
      <c r="O63" cm="1">
        <f t="array" ref="O63">_xlfn.IFS('Form responses 1'!O63 = "Yes", 1, 'Form responses 1'!O63 = "No", 2, 0, TRUE)</f>
        <v>2</v>
      </c>
      <c r="P63" cm="1">
        <f t="array" ref="P63">_xlfn.IFS('Form responses 1'!P63 = "Yes", 1, 'Form responses 1'!P63 = "No", 2, 'Form responses 1'!P63 = "Not sure", 3, 0, TRUE)</f>
        <v>2</v>
      </c>
      <c r="Q63" cm="1">
        <f t="array" ref="Q63">_xlfn.IFS('Form responses 1'!Q63 = "Yes", 1, 'Form responses 1'!Q63 = "No", 2, 0, TRUE)</f>
        <v>2</v>
      </c>
      <c r="R63" cm="1">
        <f t="array" ref="R63">_xlfn.IFS('Form responses 1'!R63 = "Yes", 1, 'Form responses 1'!R63 = "No", 2, 0, TRUE)</f>
        <v>2</v>
      </c>
      <c r="S63" cm="1">
        <f t="array" ref="S63">_xlfn.IFS('Form responses 1'!S63 = "Severely embarrassed", 1, 'Form responses 1'!S63 = "Somewhat uncomfortable", 2, 'Form responses 1'!S63= "Not affected", 3, 'Form responses 1'!S63= "Indifferent", 4, 0, TRUE)</f>
        <v>3</v>
      </c>
      <c r="T63" cm="1">
        <f t="array" ref="T63">_xlfn.IFS('Form responses 1'!T63 = "Yes", 1, 'Form responses 1'!T63 = "No", 2, 'Form responses 1'!T63 = "Not sure", 3, 0, TRUE)</f>
        <v>2</v>
      </c>
      <c r="U63" cm="1">
        <f t="array" ref="U63">_xlfn.IFS('Form responses 1'!U63 = "Strongly agree", 1, 'Form responses 1'!U63 = "Agree", 2, 'Form responses 1'!U63 = "Neutral", 3, 'Form responses 1'!U63 = "Disagree", 4, 0, TRUE)</f>
        <v>2</v>
      </c>
      <c r="V63" cm="1">
        <f t="array" ref="V63">_xlfn.IFS('Form responses 1'!V63 = "Selected", 1, 'Form responses 1'!V63 = "Not Selected", 0, 0, TRUE)</f>
        <v>0</v>
      </c>
      <c r="W63" cm="1">
        <f t="array" ref="W63">_xlfn.IFS('Form responses 1'!W63 = "Selected", 1, 'Form responses 1'!W63 = "Not Selected", 0, 0, TRUE)</f>
        <v>0</v>
      </c>
      <c r="X63" cm="1">
        <f t="array" ref="X63">_xlfn.IFS('Form responses 1'!X63 = "Selected", 1, 'Form responses 1'!X63 = "Not Selected", 0, 0, TRUE)</f>
        <v>0</v>
      </c>
      <c r="Y63" cm="1">
        <f t="array" ref="Y63">_xlfn.IFS('Form responses 1'!Y63 = "Selected", 1, 'Form responses 1'!Y63 = "Not Selected", 0, 0, TRUE)</f>
        <v>0</v>
      </c>
      <c r="Z63" cm="1">
        <f t="array" ref="Z63">_xlfn.IFS('Form responses 1'!Z63 = "Selected", 1, 'Form responses 1'!Z63 = "Not Selected", 0, 0, TRUE)</f>
        <v>1</v>
      </c>
      <c r="AA63" cm="1">
        <f t="array" ref="AA63">_xlfn.IFS('Form responses 1'!AA63 = "Very effective", 1, 'Form responses 1'!AA63 = "Somewhat effective", 2, 'Form responses 1'!AA63 = "Not effective", 3, 'Form responses 1'!AA63 = "Made it worse", 4, 0, TRUE)</f>
        <v>1</v>
      </c>
      <c r="AB63" cm="1">
        <f t="array" ref="AB63">_xlfn.IFS('Form responses 1'!AB63 = "Yes", 1, 'Form responses 1'!AB63 = "No", 2, 'Form responses 1'!AB63 = "Not sure", 3, 0, TRUE)</f>
        <v>1</v>
      </c>
      <c r="AC63" cm="1">
        <f t="array" ref="AC63">_xlfn.IFS('Form responses 1'!AC63 = "Yes", 1, 'Form responses 1'!AC63 = "No", 2, 0, TRUE)</f>
        <v>1</v>
      </c>
    </row>
    <row r="64" spans="1:29" x14ac:dyDescent="0.2">
      <c r="A64" cm="1">
        <f t="array" ref="A64">_xlfn.IFS('Form responses 1'!A64 = "18-24 years", 1, 'Form responses 1'!A64 = "25-34 years", 2, 'Form responses 1'!A64= "35-44 years", 3, 'Form responses 1'!A64= "45-54 years", 4, 'Form responses 1'!A64= "55-64 years", 5, 'Form responses 1'!A64= "65 &amp; above", 6, 0, TRUE)</f>
        <v>1</v>
      </c>
      <c r="B64" cm="1">
        <f t="array" ref="B64">_xlfn.IFS('Form responses 1'!B64 = "Female", 1, 'Form responses 1'!B64 = "Male", 2, 0, TRUE)</f>
        <v>1</v>
      </c>
      <c r="C64" t="s">
        <v>71</v>
      </c>
      <c r="D64" cm="1">
        <f t="array" ref="D64">_xlfn.IFS('Form responses 1'!D64 = "Once", 1, 'Form responses 1'!D64 = "Twice", 2, 'Form responses 1'!D64= "More than twice", 3, 'Form responses 1'!D64= "Occasionally", 4, 0, TRUE)</f>
        <v>2</v>
      </c>
      <c r="E64" cm="1">
        <f t="array" ref="E64">_xlfn.IFS('Form responses 1'!E64 = "Selected", 1, 'Form responses 1'!E64 = "Not Selected", 0, 0, TRUE)</f>
        <v>0</v>
      </c>
      <c r="F64" cm="1">
        <f t="array" ref="F64">_xlfn.IFS('Form responses 1'!F64 = "Selected", 1, 'Form responses 1'!F64 = "Not Selected", 0, 0, TRUE)</f>
        <v>1</v>
      </c>
      <c r="G64" cm="1">
        <f t="array" ref="G64">_xlfn.IFS('Form responses 1'!G64 = "Selected", 1, 'Form responses 1'!G64 = "Not Selected", 0, 0, TRUE)</f>
        <v>0</v>
      </c>
      <c r="H64" cm="1">
        <f t="array" ref="H64">_xlfn.IFS('Form responses 1'!H64 = "Selected", 1, 'Form responses 1'!H64 = "Not Selected", 0, 0, TRUE)</f>
        <v>1</v>
      </c>
      <c r="I64" cm="1">
        <f t="array" ref="I64">_xlfn.IFS('Form responses 1'!I64 = "Selected", 1, 'Form responses 1'!I64 = "Not Selected", 0, 0, TRUE)</f>
        <v>0</v>
      </c>
      <c r="J64" cm="1">
        <f t="array" ref="J64">_xlfn.IFS('Form responses 1'!J64 = "Selected", 1, 'Form responses 1'!J64 = "Not Selected", 0, 0, TRUE)</f>
        <v>1</v>
      </c>
      <c r="K64" cm="1">
        <f t="array" ref="K64">_xlfn.IFS('Form responses 1'!K64 = "Selected", 1, 'Form responses 1'!K64 = "Not Selected", 0, 0, TRUE)</f>
        <v>1</v>
      </c>
      <c r="L64" cm="1">
        <f t="array" ref="L64">_xlfn.IFS('Form responses 1'!L64 = "Selected", 1, 'Form responses 1'!L64 = "Not Selected", 0, 0, TRUE)</f>
        <v>0</v>
      </c>
      <c r="M64" cm="1">
        <f t="array" ref="M64">_xlfn.IFS('Form responses 1'!M64 = "Selected", 1, 'Form responses 1'!M64 = "Not Selected", 0, 0, TRUE)</f>
        <v>1</v>
      </c>
      <c r="N64" cm="1">
        <f t="array" ref="N64">_xlfn.IFS('Form responses 1'!N64 = "Selected", 1, 'Form responses 1'!N64 = "Not Selected", 0, 0, TRUE)</f>
        <v>0</v>
      </c>
      <c r="O64" cm="1">
        <f t="array" ref="O64">_xlfn.IFS('Form responses 1'!O64 = "Yes", 1, 'Form responses 1'!O64 = "No", 2, 0, TRUE)</f>
        <v>2</v>
      </c>
      <c r="P64" cm="1">
        <f t="array" ref="P64">_xlfn.IFS('Form responses 1'!P64 = "Yes", 1, 'Form responses 1'!P64 = "No", 2, 'Form responses 1'!P64 = "Not sure", 3, 0, TRUE)</f>
        <v>3</v>
      </c>
      <c r="Q64" cm="1">
        <f t="array" ref="Q64">_xlfn.IFS('Form responses 1'!Q64 = "Yes", 1, 'Form responses 1'!Q64 = "No", 2, 0, TRUE)</f>
        <v>1</v>
      </c>
      <c r="R64" cm="1">
        <f t="array" ref="R64">_xlfn.IFS('Form responses 1'!R64 = "Yes", 1, 'Form responses 1'!R64 = "No", 2, 0, TRUE)</f>
        <v>2</v>
      </c>
      <c r="S64" cm="1">
        <f t="array" ref="S64">_xlfn.IFS('Form responses 1'!S64 = "Severely embarrassed", 1, 'Form responses 1'!S64 = "Somewhat uncomfortable", 2, 'Form responses 1'!S64= "Not affected", 3, 'Form responses 1'!S64= "Indifferent", 4, 0, TRUE)</f>
        <v>3</v>
      </c>
      <c r="T64" cm="1">
        <f t="array" ref="T64">_xlfn.IFS('Form responses 1'!T64 = "Yes", 1, 'Form responses 1'!T64 = "No", 2, 'Form responses 1'!T64 = "Not sure", 3, 0, TRUE)</f>
        <v>2</v>
      </c>
      <c r="U64" cm="1">
        <f t="array" ref="U64">_xlfn.IFS('Form responses 1'!U64 = "Strongly agree", 1, 'Form responses 1'!U64 = "Agree", 2, 'Form responses 1'!U64 = "Neutral", 3, 'Form responses 1'!U64 = "Disagree", 4, 0, TRUE)</f>
        <v>1</v>
      </c>
      <c r="V64" cm="1">
        <f t="array" ref="V64">_xlfn.IFS('Form responses 1'!V64 = "Selected", 1, 'Form responses 1'!V64 = "Not Selected", 0, 0, TRUE)</f>
        <v>1</v>
      </c>
      <c r="W64" cm="1">
        <f t="array" ref="W64">_xlfn.IFS('Form responses 1'!W64 = "Selected", 1, 'Form responses 1'!W64 = "Not Selected", 0, 0, TRUE)</f>
        <v>0</v>
      </c>
      <c r="X64" cm="1">
        <f t="array" ref="X64">_xlfn.IFS('Form responses 1'!X64 = "Selected", 1, 'Form responses 1'!X64 = "Not Selected", 0, 0, TRUE)</f>
        <v>0</v>
      </c>
      <c r="Y64" cm="1">
        <f t="array" ref="Y64">_xlfn.IFS('Form responses 1'!Y64 = "Selected", 1, 'Form responses 1'!Y64 = "Not Selected", 0, 0, TRUE)</f>
        <v>1</v>
      </c>
      <c r="Z64" cm="1">
        <f t="array" ref="Z64">_xlfn.IFS('Form responses 1'!Z64 = "Selected", 1, 'Form responses 1'!Z64 = "Not Selected", 0, 0, TRUE)</f>
        <v>1</v>
      </c>
      <c r="AA64" cm="1">
        <f t="array" ref="AA64">_xlfn.IFS('Form responses 1'!AA64 = "Very effective", 1, 'Form responses 1'!AA64 = "Somewhat effective", 2, 'Form responses 1'!AA64 = "Not effective", 3, 'Form responses 1'!AA64 = "Made it worse", 4, 0, TRUE)</f>
        <v>1</v>
      </c>
      <c r="AB64" cm="1">
        <f t="array" ref="AB64">_xlfn.IFS('Form responses 1'!AB64 = "Yes", 1, 'Form responses 1'!AB64 = "No", 2, 'Form responses 1'!AB64 = "Not sure", 3, 0, TRUE)</f>
        <v>1</v>
      </c>
      <c r="AC64" cm="1">
        <f t="array" ref="AC64">_xlfn.IFS('Form responses 1'!AC64 = "Yes", 1, 'Form responses 1'!AC64 = "No", 2, 0, TRUE)</f>
        <v>1</v>
      </c>
    </row>
    <row r="65" spans="1:29" x14ac:dyDescent="0.2">
      <c r="A65" cm="1">
        <f t="array" ref="A65">_xlfn.IFS('Form responses 1'!A65 = "18-24 years", 1, 'Form responses 1'!A65 = "25-34 years", 2, 'Form responses 1'!A65= "35-44 years", 3, 'Form responses 1'!A65= "45-54 years", 4, 'Form responses 1'!A65= "55-64 years", 5, 'Form responses 1'!A65= "65 &amp; above", 6, 0, TRUE)</f>
        <v>2</v>
      </c>
      <c r="B65" cm="1">
        <f t="array" ref="B65">_xlfn.IFS('Form responses 1'!B65 = "Female", 1, 'Form responses 1'!B65 = "Male", 2, 0, TRUE)</f>
        <v>1</v>
      </c>
      <c r="C65" t="s">
        <v>72</v>
      </c>
      <c r="D65" cm="1">
        <f t="array" ref="D65">_xlfn.IFS('Form responses 1'!D65 = "Once", 1, 'Form responses 1'!D65 = "Twice", 2, 'Form responses 1'!D65= "More than twice", 3, 'Form responses 1'!D65= "Occasionally", 4, 0, TRUE)</f>
        <v>2</v>
      </c>
      <c r="E65" cm="1">
        <f t="array" ref="E65">_xlfn.IFS('Form responses 1'!E65 = "Selected", 1, 'Form responses 1'!E65 = "Not Selected", 0, 0, TRUE)</f>
        <v>1</v>
      </c>
      <c r="F65" cm="1">
        <f t="array" ref="F65">_xlfn.IFS('Form responses 1'!F65 = "Selected", 1, 'Form responses 1'!F65 = "Not Selected", 0, 0, TRUE)</f>
        <v>1</v>
      </c>
      <c r="G65" cm="1">
        <f t="array" ref="G65">_xlfn.IFS('Form responses 1'!G65 = "Selected", 1, 'Form responses 1'!G65 = "Not Selected", 0, 0, TRUE)</f>
        <v>0</v>
      </c>
      <c r="H65" cm="1">
        <f t="array" ref="H65">_xlfn.IFS('Form responses 1'!H65 = "Selected", 1, 'Form responses 1'!H65 = "Not Selected", 0, 0, TRUE)</f>
        <v>0</v>
      </c>
      <c r="I65" cm="1">
        <f t="array" ref="I65">_xlfn.IFS('Form responses 1'!I65 = "Selected", 1, 'Form responses 1'!I65 = "Not Selected", 0, 0, TRUE)</f>
        <v>0</v>
      </c>
      <c r="J65" cm="1">
        <f t="array" ref="J65">_xlfn.IFS('Form responses 1'!J65 = "Selected", 1, 'Form responses 1'!J65 = "Not Selected", 0, 0, TRUE)</f>
        <v>1</v>
      </c>
      <c r="K65" cm="1">
        <f t="array" ref="K65">_xlfn.IFS('Form responses 1'!K65 = "Selected", 1, 'Form responses 1'!K65 = "Not Selected", 0, 0, TRUE)</f>
        <v>1</v>
      </c>
      <c r="L65" cm="1">
        <f t="array" ref="L65">_xlfn.IFS('Form responses 1'!L65 = "Selected", 1, 'Form responses 1'!L65 = "Not Selected", 0, 0, TRUE)</f>
        <v>0</v>
      </c>
      <c r="M65" cm="1">
        <f t="array" ref="M65">_xlfn.IFS('Form responses 1'!M65 = "Selected", 1, 'Form responses 1'!M65 = "Not Selected", 0, 0, TRUE)</f>
        <v>0</v>
      </c>
      <c r="N65" cm="1">
        <f t="array" ref="N65">_xlfn.IFS('Form responses 1'!N65 = "Selected", 1, 'Form responses 1'!N65 = "Not Selected", 0, 0, TRUE)</f>
        <v>0</v>
      </c>
      <c r="O65" cm="1">
        <f t="array" ref="O65">_xlfn.IFS('Form responses 1'!O65 = "Yes", 1, 'Form responses 1'!O65 = "No", 2, 0, TRUE)</f>
        <v>2</v>
      </c>
      <c r="P65" cm="1">
        <f t="array" ref="P65">_xlfn.IFS('Form responses 1'!P65 = "Yes", 1, 'Form responses 1'!P65 = "No", 2, 'Form responses 1'!P65 = "Not sure", 3, 0, TRUE)</f>
        <v>2</v>
      </c>
      <c r="Q65" cm="1">
        <f t="array" ref="Q65">_xlfn.IFS('Form responses 1'!Q65 = "Yes", 1, 'Form responses 1'!Q65 = "No", 2, 0, TRUE)</f>
        <v>2</v>
      </c>
      <c r="R65" cm="1">
        <f t="array" ref="R65">_xlfn.IFS('Form responses 1'!R65 = "Yes", 1, 'Form responses 1'!R65 = "No", 2, 0, TRUE)</f>
        <v>2</v>
      </c>
      <c r="S65" cm="1">
        <f t="array" ref="S65">_xlfn.IFS('Form responses 1'!S65 = "Severely embarrassed", 1, 'Form responses 1'!S65 = "Somewhat uncomfortable", 2, 'Form responses 1'!S65= "Not affected", 3, 'Form responses 1'!S65= "Indifferent", 4, 0, TRUE)</f>
        <v>3</v>
      </c>
      <c r="T65" cm="1">
        <f t="array" ref="T65">_xlfn.IFS('Form responses 1'!T65 = "Yes", 1, 'Form responses 1'!T65 = "No", 2, 'Form responses 1'!T65 = "Not sure", 3, 0, TRUE)</f>
        <v>2</v>
      </c>
      <c r="U65" cm="1">
        <f t="array" ref="U65">_xlfn.IFS('Form responses 1'!U65 = "Strongly agree", 1, 'Form responses 1'!U65 = "Agree", 2, 'Form responses 1'!U65 = "Neutral", 3, 'Form responses 1'!U65 = "Disagree", 4, 0, TRUE)</f>
        <v>2</v>
      </c>
      <c r="V65" cm="1">
        <f t="array" ref="V65">_xlfn.IFS('Form responses 1'!V65 = "Selected", 1, 'Form responses 1'!V65 = "Not Selected", 0, 0, TRUE)</f>
        <v>1</v>
      </c>
      <c r="W65" cm="1">
        <f t="array" ref="W65">_xlfn.IFS('Form responses 1'!W65 = "Selected", 1, 'Form responses 1'!W65 = "Not Selected", 0, 0, TRUE)</f>
        <v>0</v>
      </c>
      <c r="X65" cm="1">
        <f t="array" ref="X65">_xlfn.IFS('Form responses 1'!X65 = "Selected", 1, 'Form responses 1'!X65 = "Not Selected", 0, 0, TRUE)</f>
        <v>0</v>
      </c>
      <c r="Y65" cm="1">
        <f t="array" ref="Y65">_xlfn.IFS('Form responses 1'!Y65 = "Selected", 1, 'Form responses 1'!Y65 = "Not Selected", 0, 0, TRUE)</f>
        <v>0</v>
      </c>
      <c r="Z65" cm="1">
        <f t="array" ref="Z65">_xlfn.IFS('Form responses 1'!Z65 = "Selected", 1, 'Form responses 1'!Z65 = "Not Selected", 0, 0, TRUE)</f>
        <v>1</v>
      </c>
      <c r="AA65" cm="1">
        <f t="array" ref="AA65">_xlfn.IFS('Form responses 1'!AA65 = "Very effective", 1, 'Form responses 1'!AA65 = "Somewhat effective", 2, 'Form responses 1'!AA65 = "Not effective", 3, 'Form responses 1'!AA65 = "Made it worse", 4, 0, TRUE)</f>
        <v>1</v>
      </c>
      <c r="AB65" cm="1">
        <f t="array" ref="AB65">_xlfn.IFS('Form responses 1'!AB65 = "Yes", 1, 'Form responses 1'!AB65 = "No", 2, 'Form responses 1'!AB65 = "Not sure", 3, 0, TRUE)</f>
        <v>1</v>
      </c>
      <c r="AC65" cm="1">
        <f t="array" ref="AC65">_xlfn.IFS('Form responses 1'!AC65 = "Yes", 1, 'Form responses 1'!AC65 = "No", 2, 0, TRUE)</f>
        <v>1</v>
      </c>
    </row>
    <row r="66" spans="1:29" x14ac:dyDescent="0.2">
      <c r="A66" cm="1">
        <f t="array" ref="A66">_xlfn.IFS('Form responses 1'!A66 = "18-24 years", 1, 'Form responses 1'!A66 = "25-34 years", 2, 'Form responses 1'!A66= "35-44 years", 3, 'Form responses 1'!A66= "45-54 years", 4, 'Form responses 1'!A66= "55-64 years", 5, 'Form responses 1'!A66= "65 &amp; above", 6, 0, TRUE)</f>
        <v>2</v>
      </c>
      <c r="B66" cm="1">
        <f t="array" ref="B66">_xlfn.IFS('Form responses 1'!B66 = "Female", 1, 'Form responses 1'!B66 = "Male", 2, 0, TRUE)</f>
        <v>2</v>
      </c>
      <c r="C66" t="s">
        <v>71</v>
      </c>
      <c r="D66" cm="1">
        <f t="array" ref="D66">_xlfn.IFS('Form responses 1'!D66 = "Once", 1, 'Form responses 1'!D66 = "Twice", 2, 'Form responses 1'!D66= "More than twice", 3, 'Form responses 1'!D66= "Occasionally", 4, 0, TRUE)</f>
        <v>3</v>
      </c>
      <c r="E66" cm="1">
        <f t="array" ref="E66">_xlfn.IFS('Form responses 1'!E66 = "Selected", 1, 'Form responses 1'!E66 = "Not Selected", 0, 0, TRUE)</f>
        <v>1</v>
      </c>
      <c r="F66" cm="1">
        <f t="array" ref="F66">_xlfn.IFS('Form responses 1'!F66 = "Selected", 1, 'Form responses 1'!F66 = "Not Selected", 0, 0, TRUE)</f>
        <v>1</v>
      </c>
      <c r="G66" cm="1">
        <f t="array" ref="G66">_xlfn.IFS('Form responses 1'!G66 = "Selected", 1, 'Form responses 1'!G66 = "Not Selected", 0, 0, TRUE)</f>
        <v>0</v>
      </c>
      <c r="H66" cm="1">
        <f t="array" ref="H66">_xlfn.IFS('Form responses 1'!H66 = "Selected", 1, 'Form responses 1'!H66 = "Not Selected", 0, 0, TRUE)</f>
        <v>0</v>
      </c>
      <c r="I66" cm="1">
        <f t="array" ref="I66">_xlfn.IFS('Form responses 1'!I66 = "Selected", 1, 'Form responses 1'!I66 = "Not Selected", 0, 0, TRUE)</f>
        <v>0</v>
      </c>
      <c r="J66" cm="1">
        <f t="array" ref="J66">_xlfn.IFS('Form responses 1'!J66 = "Selected", 1, 'Form responses 1'!J66 = "Not Selected", 0, 0, TRUE)</f>
        <v>1</v>
      </c>
      <c r="K66" cm="1">
        <f t="array" ref="K66">_xlfn.IFS('Form responses 1'!K66 = "Selected", 1, 'Form responses 1'!K66 = "Not Selected", 0, 0, TRUE)</f>
        <v>0</v>
      </c>
      <c r="L66" cm="1">
        <f t="array" ref="L66">_xlfn.IFS('Form responses 1'!L66 = "Selected", 1, 'Form responses 1'!L66 = "Not Selected", 0, 0, TRUE)</f>
        <v>1</v>
      </c>
      <c r="M66" cm="1">
        <f t="array" ref="M66">_xlfn.IFS('Form responses 1'!M66 = "Selected", 1, 'Form responses 1'!M66 = "Not Selected", 0, 0, TRUE)</f>
        <v>1</v>
      </c>
      <c r="N66" cm="1">
        <f t="array" ref="N66">_xlfn.IFS('Form responses 1'!N66 = "Selected", 1, 'Form responses 1'!N66 = "Not Selected", 0, 0, TRUE)</f>
        <v>0</v>
      </c>
      <c r="O66" cm="1">
        <f t="array" ref="O66">_xlfn.IFS('Form responses 1'!O66 = "Yes", 1, 'Form responses 1'!O66 = "No", 2, 0, TRUE)</f>
        <v>1</v>
      </c>
      <c r="P66" cm="1">
        <f t="array" ref="P66">_xlfn.IFS('Form responses 1'!P66 = "Yes", 1, 'Form responses 1'!P66 = "No", 2, 'Form responses 1'!P66 = "Not sure", 3, 0, TRUE)</f>
        <v>2</v>
      </c>
      <c r="Q66" cm="1">
        <f t="array" ref="Q66">_xlfn.IFS('Form responses 1'!Q66 = "Yes", 1, 'Form responses 1'!Q66 = "No", 2, 0, TRUE)</f>
        <v>1</v>
      </c>
      <c r="R66" cm="1">
        <f t="array" ref="R66">_xlfn.IFS('Form responses 1'!R66 = "Yes", 1, 'Form responses 1'!R66 = "No", 2, 0, TRUE)</f>
        <v>2</v>
      </c>
      <c r="S66" cm="1">
        <f t="array" ref="S66">_xlfn.IFS('Form responses 1'!S66 = "Severely embarrassed", 1, 'Form responses 1'!S66 = "Somewhat uncomfortable", 2, 'Form responses 1'!S66= "Not affected", 3, 'Form responses 1'!S66= "Indifferent", 4, 0, TRUE)</f>
        <v>3</v>
      </c>
      <c r="T66" cm="1">
        <f t="array" ref="T66">_xlfn.IFS('Form responses 1'!T66 = "Yes", 1, 'Form responses 1'!T66 = "No", 2, 'Form responses 1'!T66 = "Not sure", 3, 0, TRUE)</f>
        <v>1</v>
      </c>
      <c r="U66" cm="1">
        <f t="array" ref="U66">_xlfn.IFS('Form responses 1'!U66 = "Strongly agree", 1, 'Form responses 1'!U66 = "Agree", 2, 'Form responses 1'!U66 = "Neutral", 3, 'Form responses 1'!U66 = "Disagree", 4, 0, TRUE)</f>
        <v>1</v>
      </c>
      <c r="V66" cm="1">
        <f t="array" ref="V66">_xlfn.IFS('Form responses 1'!V66 = "Selected", 1, 'Form responses 1'!V66 = "Not Selected", 0, 0, TRUE)</f>
        <v>1</v>
      </c>
      <c r="W66" cm="1">
        <f t="array" ref="W66">_xlfn.IFS('Form responses 1'!W66 = "Selected", 1, 'Form responses 1'!W66 = "Not Selected", 0, 0, TRUE)</f>
        <v>1</v>
      </c>
      <c r="X66" cm="1">
        <f t="array" ref="X66">_xlfn.IFS('Form responses 1'!X66 = "Selected", 1, 'Form responses 1'!X66 = "Not Selected", 0, 0, TRUE)</f>
        <v>0</v>
      </c>
      <c r="Y66" cm="1">
        <f t="array" ref="Y66">_xlfn.IFS('Form responses 1'!Y66 = "Selected", 1, 'Form responses 1'!Y66 = "Not Selected", 0, 0, TRUE)</f>
        <v>0</v>
      </c>
      <c r="Z66" cm="1">
        <f t="array" ref="Z66">_xlfn.IFS('Form responses 1'!Z66 = "Selected", 1, 'Form responses 1'!Z66 = "Not Selected", 0, 0, TRUE)</f>
        <v>1</v>
      </c>
      <c r="AA66" cm="1">
        <f t="array" ref="AA66">_xlfn.IFS('Form responses 1'!AA66 = "Very effective", 1, 'Form responses 1'!AA66 = "Somewhat effective", 2, 'Form responses 1'!AA66 = "Not effective", 3, 'Form responses 1'!AA66 = "Made it worse", 4, 0, TRUE)</f>
        <v>1</v>
      </c>
      <c r="AB66" cm="1">
        <f t="array" ref="AB66">_xlfn.IFS('Form responses 1'!AB66 = "Yes", 1, 'Form responses 1'!AB66 = "No", 2, 'Form responses 1'!AB66 = "Not sure", 3, 0, TRUE)</f>
        <v>1</v>
      </c>
      <c r="AC66" cm="1">
        <f t="array" ref="AC66">_xlfn.IFS('Form responses 1'!AC66 = "Yes", 1, 'Form responses 1'!AC66 = "No", 2, 0, TRUE)</f>
        <v>1</v>
      </c>
    </row>
    <row r="67" spans="1:29" x14ac:dyDescent="0.2">
      <c r="A67" cm="1">
        <f t="array" ref="A67">_xlfn.IFS('Form responses 1'!A67 = "18-24 years", 1, 'Form responses 1'!A67 = "25-34 years", 2, 'Form responses 1'!A67= "35-44 years", 3, 'Form responses 1'!A67= "45-54 years", 4, 'Form responses 1'!A67= "55-64 years", 5, 'Form responses 1'!A67= "65 &amp; above", 6, 0, TRUE)</f>
        <v>1</v>
      </c>
      <c r="B67" cm="1">
        <f t="array" ref="B67">_xlfn.IFS('Form responses 1'!B67 = "Female", 1, 'Form responses 1'!B67 = "Male", 2, 0, TRUE)</f>
        <v>1</v>
      </c>
      <c r="C67" t="s">
        <v>73</v>
      </c>
      <c r="D67" cm="1">
        <f t="array" ref="D67">_xlfn.IFS('Form responses 1'!D67 = "Once", 1, 'Form responses 1'!D67 = "Twice", 2, 'Form responses 1'!D67= "More than twice", 3, 'Form responses 1'!D67= "Occasionally", 4, 0, TRUE)</f>
        <v>2</v>
      </c>
      <c r="E67" cm="1">
        <f t="array" ref="E67">_xlfn.IFS('Form responses 1'!E67 = "Selected", 1, 'Form responses 1'!E67 = "Not Selected", 0, 0, TRUE)</f>
        <v>0</v>
      </c>
      <c r="F67" cm="1">
        <f t="array" ref="F67">_xlfn.IFS('Form responses 1'!F67 = "Selected", 1, 'Form responses 1'!F67 = "Not Selected", 0, 0, TRUE)</f>
        <v>1</v>
      </c>
      <c r="G67" cm="1">
        <f t="array" ref="G67">_xlfn.IFS('Form responses 1'!G67 = "Selected", 1, 'Form responses 1'!G67 = "Not Selected", 0, 0, TRUE)</f>
        <v>0</v>
      </c>
      <c r="H67" cm="1">
        <f t="array" ref="H67">_xlfn.IFS('Form responses 1'!H67 = "Selected", 1, 'Form responses 1'!H67 = "Not Selected", 0, 0, TRUE)</f>
        <v>0</v>
      </c>
      <c r="I67" cm="1">
        <f t="array" ref="I67">_xlfn.IFS('Form responses 1'!I67 = "Selected", 1, 'Form responses 1'!I67 = "Not Selected", 0, 0, TRUE)</f>
        <v>0</v>
      </c>
      <c r="J67" cm="1">
        <f t="array" ref="J67">_xlfn.IFS('Form responses 1'!J67 = "Selected", 1, 'Form responses 1'!J67 = "Not Selected", 0, 0, TRUE)</f>
        <v>1</v>
      </c>
      <c r="K67" cm="1">
        <f t="array" ref="K67">_xlfn.IFS('Form responses 1'!K67 = "Selected", 1, 'Form responses 1'!K67 = "Not Selected", 0, 0, TRUE)</f>
        <v>1</v>
      </c>
      <c r="L67" cm="1">
        <f t="array" ref="L67">_xlfn.IFS('Form responses 1'!L67 = "Selected", 1, 'Form responses 1'!L67 = "Not Selected", 0, 0, TRUE)</f>
        <v>0</v>
      </c>
      <c r="M67" cm="1">
        <f t="array" ref="M67">_xlfn.IFS('Form responses 1'!M67 = "Selected", 1, 'Form responses 1'!M67 = "Not Selected", 0, 0, TRUE)</f>
        <v>1</v>
      </c>
      <c r="N67" cm="1">
        <f t="array" ref="N67">_xlfn.IFS('Form responses 1'!N67 = "Selected", 1, 'Form responses 1'!N67 = "Not Selected", 0, 0, TRUE)</f>
        <v>1</v>
      </c>
      <c r="O67" cm="1">
        <f t="array" ref="O67">_xlfn.IFS('Form responses 1'!O67 = "Yes", 1, 'Form responses 1'!O67 = "No", 2, 0, TRUE)</f>
        <v>2</v>
      </c>
      <c r="P67" cm="1">
        <f t="array" ref="P67">_xlfn.IFS('Form responses 1'!P67 = "Yes", 1, 'Form responses 1'!P67 = "No", 2, 'Form responses 1'!P67 = "Not sure", 3, 0, TRUE)</f>
        <v>2</v>
      </c>
      <c r="Q67" cm="1">
        <f t="array" ref="Q67">_xlfn.IFS('Form responses 1'!Q67 = "Yes", 1, 'Form responses 1'!Q67 = "No", 2, 0, TRUE)</f>
        <v>2</v>
      </c>
      <c r="R67" cm="1">
        <f t="array" ref="R67">_xlfn.IFS('Form responses 1'!R67 = "Yes", 1, 'Form responses 1'!R67 = "No", 2, 0, TRUE)</f>
        <v>2</v>
      </c>
      <c r="S67" cm="1">
        <f t="array" ref="S67">_xlfn.IFS('Form responses 1'!S67 = "Severely embarrassed", 1, 'Form responses 1'!S67 = "Somewhat uncomfortable", 2, 'Form responses 1'!S67= "Not affected", 3, 'Form responses 1'!S67= "Indifferent", 4, 0, TRUE)</f>
        <v>3</v>
      </c>
      <c r="T67" cm="1">
        <f t="array" ref="T67">_xlfn.IFS('Form responses 1'!T67 = "Yes", 1, 'Form responses 1'!T67 = "No", 2, 'Form responses 1'!T67 = "Not sure", 3, 0, TRUE)</f>
        <v>2</v>
      </c>
      <c r="U67" cm="1">
        <f t="array" ref="U67">_xlfn.IFS('Form responses 1'!U67 = "Strongly agree", 1, 'Form responses 1'!U67 = "Agree", 2, 'Form responses 1'!U67 = "Neutral", 3, 'Form responses 1'!U67 = "Disagree", 4, 0, TRUE)</f>
        <v>1</v>
      </c>
      <c r="V67" cm="1">
        <f t="array" ref="V67">_xlfn.IFS('Form responses 1'!V67 = "Selected", 1, 'Form responses 1'!V67 = "Not Selected", 0, 0, TRUE)</f>
        <v>1</v>
      </c>
      <c r="W67" cm="1">
        <f t="array" ref="W67">_xlfn.IFS('Form responses 1'!W67 = "Selected", 1, 'Form responses 1'!W67 = "Not Selected", 0, 0, TRUE)</f>
        <v>0</v>
      </c>
      <c r="X67" cm="1">
        <f t="array" ref="X67">_xlfn.IFS('Form responses 1'!X67 = "Selected", 1, 'Form responses 1'!X67 = "Not Selected", 0, 0, TRUE)</f>
        <v>0</v>
      </c>
      <c r="Y67" cm="1">
        <f t="array" ref="Y67">_xlfn.IFS('Form responses 1'!Y67 = "Selected", 1, 'Form responses 1'!Y67 = "Not Selected", 0, 0, TRUE)</f>
        <v>0</v>
      </c>
      <c r="Z67" cm="1">
        <f t="array" ref="Z67">_xlfn.IFS('Form responses 1'!Z67 = "Selected", 1, 'Form responses 1'!Z67 = "Not Selected", 0, 0, TRUE)</f>
        <v>1</v>
      </c>
      <c r="AA67" cm="1">
        <f t="array" ref="AA67">_xlfn.IFS('Form responses 1'!AA67 = "Very effective", 1, 'Form responses 1'!AA67 = "Somewhat effective", 2, 'Form responses 1'!AA67 = "Not effective", 3, 'Form responses 1'!AA67 = "Made it worse", 4, 0, TRUE)</f>
        <v>1</v>
      </c>
      <c r="AB67" cm="1">
        <f t="array" ref="AB67">_xlfn.IFS('Form responses 1'!AB67 = "Yes", 1, 'Form responses 1'!AB67 = "No", 2, 'Form responses 1'!AB67 = "Not sure", 3, 0, TRUE)</f>
        <v>2</v>
      </c>
      <c r="AC67" cm="1">
        <f t="array" ref="AC67">_xlfn.IFS('Form responses 1'!AC67 = "Yes", 1, 'Form responses 1'!AC67 = "No", 2, 0, TRUE)</f>
        <v>1</v>
      </c>
    </row>
    <row r="68" spans="1:29" x14ac:dyDescent="0.2">
      <c r="A68" cm="1">
        <f t="array" ref="A68">_xlfn.IFS('Form responses 1'!A68 = "18-24 years", 1, 'Form responses 1'!A68 = "25-34 years", 2, 'Form responses 1'!A68= "35-44 years", 3, 'Form responses 1'!A68= "45-54 years", 4, 'Form responses 1'!A68= "55-64 years", 5, 'Form responses 1'!A68= "65 &amp; above", 6, 0, TRUE)</f>
        <v>5</v>
      </c>
      <c r="B68" cm="1">
        <f t="array" ref="B68">_xlfn.IFS('Form responses 1'!B68 = "Female", 1, 'Form responses 1'!B68 = "Male", 2, 0, TRUE)</f>
        <v>2</v>
      </c>
      <c r="C68" t="s">
        <v>73</v>
      </c>
      <c r="D68" cm="1">
        <f t="array" ref="D68">_xlfn.IFS('Form responses 1'!D68 = "Once", 1, 'Form responses 1'!D68 = "Twice", 2, 'Form responses 1'!D68= "More than twice", 3, 'Form responses 1'!D68= "Occasionally", 4, 0, TRUE)</f>
        <v>2</v>
      </c>
      <c r="E68" cm="1">
        <f t="array" ref="E68">_xlfn.IFS('Form responses 1'!E68 = "Selected", 1, 'Form responses 1'!E68 = "Not Selected", 0, 0, TRUE)</f>
        <v>1</v>
      </c>
      <c r="F68" cm="1">
        <f t="array" ref="F68">_xlfn.IFS('Form responses 1'!F68 = "Selected", 1, 'Form responses 1'!F68 = "Not Selected", 0, 0, TRUE)</f>
        <v>1</v>
      </c>
      <c r="G68" cm="1">
        <f t="array" ref="G68">_xlfn.IFS('Form responses 1'!G68 = "Selected", 1, 'Form responses 1'!G68 = "Not Selected", 0, 0, TRUE)</f>
        <v>0</v>
      </c>
      <c r="H68" cm="1">
        <f t="array" ref="H68">_xlfn.IFS('Form responses 1'!H68 = "Selected", 1, 'Form responses 1'!H68 = "Not Selected", 0, 0, TRUE)</f>
        <v>0</v>
      </c>
      <c r="I68" cm="1">
        <f t="array" ref="I68">_xlfn.IFS('Form responses 1'!I68 = "Selected", 1, 'Form responses 1'!I68 = "Not Selected", 0, 0, TRUE)</f>
        <v>0</v>
      </c>
      <c r="J68" cm="1">
        <f t="array" ref="J68">_xlfn.IFS('Form responses 1'!J68 = "Selected", 1, 'Form responses 1'!J68 = "Not Selected", 0, 0, TRUE)</f>
        <v>1</v>
      </c>
      <c r="K68" cm="1">
        <f t="array" ref="K68">_xlfn.IFS('Form responses 1'!K68 = "Selected", 1, 'Form responses 1'!K68 = "Not Selected", 0, 0, TRUE)</f>
        <v>1</v>
      </c>
      <c r="L68" cm="1">
        <f t="array" ref="L68">_xlfn.IFS('Form responses 1'!L68 = "Selected", 1, 'Form responses 1'!L68 = "Not Selected", 0, 0, TRUE)</f>
        <v>1</v>
      </c>
      <c r="M68" cm="1">
        <f t="array" ref="M68">_xlfn.IFS('Form responses 1'!M68 = "Selected", 1, 'Form responses 1'!M68 = "Not Selected", 0, 0, TRUE)</f>
        <v>1</v>
      </c>
      <c r="N68" cm="1">
        <f t="array" ref="N68">_xlfn.IFS('Form responses 1'!N68 = "Selected", 1, 'Form responses 1'!N68 = "Not Selected", 0, 0, TRUE)</f>
        <v>1</v>
      </c>
      <c r="O68" cm="1">
        <f t="array" ref="O68">_xlfn.IFS('Form responses 1'!O68 = "Yes", 1, 'Form responses 1'!O68 = "No", 2, 0, TRUE)</f>
        <v>1</v>
      </c>
      <c r="P68" cm="1">
        <f t="array" ref="P68">_xlfn.IFS('Form responses 1'!P68 = "Yes", 1, 'Form responses 1'!P68 = "No", 2, 'Form responses 1'!P68 = "Not sure", 3, 0, TRUE)</f>
        <v>1</v>
      </c>
      <c r="Q68" cm="1">
        <f t="array" ref="Q68">_xlfn.IFS('Form responses 1'!Q68 = "Yes", 1, 'Form responses 1'!Q68 = "No", 2, 0, TRUE)</f>
        <v>2</v>
      </c>
      <c r="R68" cm="1">
        <f t="array" ref="R68">_xlfn.IFS('Form responses 1'!R68 = "Yes", 1, 'Form responses 1'!R68 = "No", 2, 0, TRUE)</f>
        <v>1</v>
      </c>
      <c r="S68" cm="1">
        <f t="array" ref="S68">_xlfn.IFS('Form responses 1'!S68 = "Severely embarrassed", 1, 'Form responses 1'!S68 = "Somewhat uncomfortable", 2, 'Form responses 1'!S68= "Not affected", 3, 'Form responses 1'!S68= "Indifferent", 4, 0, TRUE)</f>
        <v>1</v>
      </c>
      <c r="T68" cm="1">
        <f t="array" ref="T68">_xlfn.IFS('Form responses 1'!T68 = "Yes", 1, 'Form responses 1'!T68 = "No", 2, 'Form responses 1'!T68 = "Not sure", 3, 0, TRUE)</f>
        <v>2</v>
      </c>
      <c r="U68" cm="1">
        <f t="array" ref="U68">_xlfn.IFS('Form responses 1'!U68 = "Strongly agree", 1, 'Form responses 1'!U68 = "Agree", 2, 'Form responses 1'!U68 = "Neutral", 3, 'Form responses 1'!U68 = "Disagree", 4, 0, TRUE)</f>
        <v>1</v>
      </c>
      <c r="V68" cm="1">
        <f t="array" ref="V68">_xlfn.IFS('Form responses 1'!V68 = "Selected", 1, 'Form responses 1'!V68 = "Not Selected", 0, 0, TRUE)</f>
        <v>1</v>
      </c>
      <c r="W68" cm="1">
        <f t="array" ref="W68">_xlfn.IFS('Form responses 1'!W68 = "Selected", 1, 'Form responses 1'!W68 = "Not Selected", 0, 0, TRUE)</f>
        <v>0</v>
      </c>
      <c r="X68" cm="1">
        <f t="array" ref="X68">_xlfn.IFS('Form responses 1'!X68 = "Selected", 1, 'Form responses 1'!X68 = "Not Selected", 0, 0, TRUE)</f>
        <v>0</v>
      </c>
      <c r="Y68" cm="1">
        <f t="array" ref="Y68">_xlfn.IFS('Form responses 1'!Y68 = "Selected", 1, 'Form responses 1'!Y68 = "Not Selected", 0, 0, TRUE)</f>
        <v>0</v>
      </c>
      <c r="Z68" cm="1">
        <f t="array" ref="Z68">_xlfn.IFS('Form responses 1'!Z68 = "Selected", 1, 'Form responses 1'!Z68 = "Not Selected", 0, 0, TRUE)</f>
        <v>1</v>
      </c>
      <c r="AA68" cm="1">
        <f t="array" ref="AA68">_xlfn.IFS('Form responses 1'!AA68 = "Very effective", 1, 'Form responses 1'!AA68 = "Somewhat effective", 2, 'Form responses 1'!AA68 = "Not effective", 3, 'Form responses 1'!AA68 = "Made it worse", 4, 0, TRUE)</f>
        <v>1</v>
      </c>
      <c r="AB68" cm="1">
        <f t="array" ref="AB68">_xlfn.IFS('Form responses 1'!AB68 = "Yes", 1, 'Form responses 1'!AB68 = "No", 2, 'Form responses 1'!AB68 = "Not sure", 3, 0, TRUE)</f>
        <v>1</v>
      </c>
      <c r="AC68" cm="1">
        <f t="array" ref="AC68">_xlfn.IFS('Form responses 1'!AC68 = "Yes", 1, 'Form responses 1'!AC68 = "No", 2, 0, TRUE)</f>
        <v>1</v>
      </c>
    </row>
    <row r="69" spans="1:29" x14ac:dyDescent="0.2">
      <c r="A69" cm="1">
        <f t="array" ref="A69">_xlfn.IFS('Form responses 1'!A69 = "18-24 years", 1, 'Form responses 1'!A69 = "25-34 years", 2, 'Form responses 1'!A69= "35-44 years", 3, 'Form responses 1'!A69= "45-54 years", 4, 'Form responses 1'!A69= "55-64 years", 5, 'Form responses 1'!A69= "65 &amp; above", 6, 0, TRUE)</f>
        <v>1</v>
      </c>
      <c r="B69" cm="1">
        <f t="array" ref="B69">_xlfn.IFS('Form responses 1'!B69 = "Female", 1, 'Form responses 1'!B69 = "Male", 2, 0, TRUE)</f>
        <v>2</v>
      </c>
      <c r="C69" t="s">
        <v>75</v>
      </c>
      <c r="D69" cm="1">
        <f t="array" ref="D69">_xlfn.IFS('Form responses 1'!D69 = "Once", 1, 'Form responses 1'!D69 = "Twice", 2, 'Form responses 1'!D69= "More than twice", 3, 'Form responses 1'!D69= "Occasionally", 4, 0, TRUE)</f>
        <v>2</v>
      </c>
      <c r="E69" cm="1">
        <f t="array" ref="E69">_xlfn.IFS('Form responses 1'!E69 = "Selected", 1, 'Form responses 1'!E69 = "Not Selected", 0, 0, TRUE)</f>
        <v>0</v>
      </c>
      <c r="F69" cm="1">
        <f t="array" ref="F69">_xlfn.IFS('Form responses 1'!F69 = "Selected", 1, 'Form responses 1'!F69 = "Not Selected", 0, 0, TRUE)</f>
        <v>1</v>
      </c>
      <c r="G69" cm="1">
        <f t="array" ref="G69">_xlfn.IFS('Form responses 1'!G69 = "Selected", 1, 'Form responses 1'!G69 = "Not Selected", 0, 0, TRUE)</f>
        <v>0</v>
      </c>
      <c r="H69" cm="1">
        <f t="array" ref="H69">_xlfn.IFS('Form responses 1'!H69 = "Selected", 1, 'Form responses 1'!H69 = "Not Selected", 0, 0, TRUE)</f>
        <v>0</v>
      </c>
      <c r="I69" cm="1">
        <f t="array" ref="I69">_xlfn.IFS('Form responses 1'!I69 = "Selected", 1, 'Form responses 1'!I69 = "Not Selected", 0, 0, TRUE)</f>
        <v>0</v>
      </c>
      <c r="J69" cm="1">
        <f t="array" ref="J69">_xlfn.IFS('Form responses 1'!J69 = "Selected", 1, 'Form responses 1'!J69 = "Not Selected", 0, 0, TRUE)</f>
        <v>1</v>
      </c>
      <c r="K69" cm="1">
        <f t="array" ref="K69">_xlfn.IFS('Form responses 1'!K69 = "Selected", 1, 'Form responses 1'!K69 = "Not Selected", 0, 0, TRUE)</f>
        <v>0</v>
      </c>
      <c r="L69" cm="1">
        <f t="array" ref="L69">_xlfn.IFS('Form responses 1'!L69 = "Selected", 1, 'Form responses 1'!L69 = "Not Selected", 0, 0, TRUE)</f>
        <v>0</v>
      </c>
      <c r="M69" cm="1">
        <f t="array" ref="M69">_xlfn.IFS('Form responses 1'!M69 = "Selected", 1, 'Form responses 1'!M69 = "Not Selected", 0, 0, TRUE)</f>
        <v>0</v>
      </c>
      <c r="N69" cm="1">
        <f t="array" ref="N69">_xlfn.IFS('Form responses 1'!N69 = "Selected", 1, 'Form responses 1'!N69 = "Not Selected", 0, 0, TRUE)</f>
        <v>0</v>
      </c>
      <c r="O69" cm="1">
        <f t="array" ref="O69">_xlfn.IFS('Form responses 1'!O69 = "Yes", 1, 'Form responses 1'!O69 = "No", 2, 0, TRUE)</f>
        <v>2</v>
      </c>
      <c r="P69" cm="1">
        <f t="array" ref="P69">_xlfn.IFS('Form responses 1'!P69 = "Yes", 1, 'Form responses 1'!P69 = "No", 2, 'Form responses 1'!P69 = "Not sure", 3, 0, TRUE)</f>
        <v>1</v>
      </c>
      <c r="Q69" cm="1">
        <f t="array" ref="Q69">_xlfn.IFS('Form responses 1'!Q69 = "Yes", 1, 'Form responses 1'!Q69 = "No", 2, 0, TRUE)</f>
        <v>2</v>
      </c>
      <c r="R69" cm="1">
        <f t="array" ref="R69">_xlfn.IFS('Form responses 1'!R69 = "Yes", 1, 'Form responses 1'!R69 = "No", 2, 0, TRUE)</f>
        <v>2</v>
      </c>
      <c r="S69" cm="1">
        <f t="array" ref="S69">_xlfn.IFS('Form responses 1'!S69 = "Severely embarrassed", 1, 'Form responses 1'!S69 = "Somewhat uncomfortable", 2, 'Form responses 1'!S69= "Not affected", 3, 'Form responses 1'!S69= "Indifferent", 4, 0, TRUE)</f>
        <v>3</v>
      </c>
      <c r="T69" cm="1">
        <f t="array" ref="T69">_xlfn.IFS('Form responses 1'!T69 = "Yes", 1, 'Form responses 1'!T69 = "No", 2, 'Form responses 1'!T69 = "Not sure", 3, 0, TRUE)</f>
        <v>2</v>
      </c>
      <c r="U69" cm="1">
        <f t="array" ref="U69">_xlfn.IFS('Form responses 1'!U69 = "Strongly agree", 1, 'Form responses 1'!U69 = "Agree", 2, 'Form responses 1'!U69 = "Neutral", 3, 'Form responses 1'!U69 = "Disagree", 4, 0, TRUE)</f>
        <v>2</v>
      </c>
      <c r="V69" cm="1">
        <f t="array" ref="V69">_xlfn.IFS('Form responses 1'!V69 = "Selected", 1, 'Form responses 1'!V69 = "Not Selected", 0, 0, TRUE)</f>
        <v>1</v>
      </c>
      <c r="W69" cm="1">
        <f t="array" ref="W69">_xlfn.IFS('Form responses 1'!W69 = "Selected", 1, 'Form responses 1'!W69 = "Not Selected", 0, 0, TRUE)</f>
        <v>0</v>
      </c>
      <c r="X69" cm="1">
        <f t="array" ref="X69">_xlfn.IFS('Form responses 1'!X69 = "Selected", 1, 'Form responses 1'!X69 = "Not Selected", 0, 0, TRUE)</f>
        <v>0</v>
      </c>
      <c r="Y69" cm="1">
        <f t="array" ref="Y69">_xlfn.IFS('Form responses 1'!Y69 = "Selected", 1, 'Form responses 1'!Y69 = "Not Selected", 0, 0, TRUE)</f>
        <v>0</v>
      </c>
      <c r="Z69" cm="1">
        <f t="array" ref="Z69">_xlfn.IFS('Form responses 1'!Z69 = "Selected", 1, 'Form responses 1'!Z69 = "Not Selected", 0, 0, TRUE)</f>
        <v>1</v>
      </c>
      <c r="AA69" cm="1">
        <f t="array" ref="AA69">_xlfn.IFS('Form responses 1'!AA69 = "Very effective", 1, 'Form responses 1'!AA69 = "Somewhat effective", 2, 'Form responses 1'!AA69 = "Not effective", 3, 'Form responses 1'!AA69 = "Made it worse", 4, 0, TRUE)</f>
        <v>2</v>
      </c>
      <c r="AB69" cm="1">
        <f t="array" ref="AB69">_xlfn.IFS('Form responses 1'!AB69 = "Yes", 1, 'Form responses 1'!AB69 = "No", 2, 'Form responses 1'!AB69 = "Not sure", 3, 0, TRUE)</f>
        <v>1</v>
      </c>
      <c r="AC69" cm="1">
        <f t="array" ref="AC69">_xlfn.IFS('Form responses 1'!AC69 = "Yes", 1, 'Form responses 1'!AC69 = "No", 2, 0, TRUE)</f>
        <v>1</v>
      </c>
    </row>
    <row r="70" spans="1:29" x14ac:dyDescent="0.2">
      <c r="A70" cm="1">
        <f t="array" ref="A70">_xlfn.IFS('Form responses 1'!A70 = "18-24 years", 1, 'Form responses 1'!A70 = "25-34 years", 2, 'Form responses 1'!A70= "35-44 years", 3, 'Form responses 1'!A70= "45-54 years", 4, 'Form responses 1'!A70= "55-64 years", 5, 'Form responses 1'!A70= "65 &amp; above", 6, 0, TRUE)</f>
        <v>2</v>
      </c>
      <c r="B70" cm="1">
        <f t="array" ref="B70">_xlfn.IFS('Form responses 1'!B70 = "Female", 1, 'Form responses 1'!B70 = "Male", 2, 0, TRUE)</f>
        <v>2</v>
      </c>
      <c r="C70" t="s">
        <v>76</v>
      </c>
      <c r="D70" cm="1">
        <f t="array" ref="D70">_xlfn.IFS('Form responses 1'!D70 = "Once", 1, 'Form responses 1'!D70 = "Twice", 2, 'Form responses 1'!D70= "More than twice", 3, 'Form responses 1'!D70= "Occasionally", 4, 0, TRUE)</f>
        <v>3</v>
      </c>
      <c r="E70" cm="1">
        <f t="array" ref="E70">_xlfn.IFS('Form responses 1'!E70 = "Selected", 1, 'Form responses 1'!E70 = "Not Selected", 0, 0, TRUE)</f>
        <v>1</v>
      </c>
      <c r="F70" cm="1">
        <f t="array" ref="F70">_xlfn.IFS('Form responses 1'!F70 = "Selected", 1, 'Form responses 1'!F70 = "Not Selected", 0, 0, TRUE)</f>
        <v>1</v>
      </c>
      <c r="G70" cm="1">
        <f t="array" ref="G70">_xlfn.IFS('Form responses 1'!G70 = "Selected", 1, 'Form responses 1'!G70 = "Not Selected", 0, 0, TRUE)</f>
        <v>0</v>
      </c>
      <c r="H70" cm="1">
        <f t="array" ref="H70">_xlfn.IFS('Form responses 1'!H70 = "Selected", 1, 'Form responses 1'!H70 = "Not Selected", 0, 0, TRUE)</f>
        <v>0</v>
      </c>
      <c r="I70" cm="1">
        <f t="array" ref="I70">_xlfn.IFS('Form responses 1'!I70 = "Selected", 1, 'Form responses 1'!I70 = "Not Selected", 0, 0, TRUE)</f>
        <v>0</v>
      </c>
      <c r="J70" cm="1">
        <f t="array" ref="J70">_xlfn.IFS('Form responses 1'!J70 = "Selected", 1, 'Form responses 1'!J70 = "Not Selected", 0, 0, TRUE)</f>
        <v>1</v>
      </c>
      <c r="K70" cm="1">
        <f t="array" ref="K70">_xlfn.IFS('Form responses 1'!K70 = "Selected", 1, 'Form responses 1'!K70 = "Not Selected", 0, 0, TRUE)</f>
        <v>1</v>
      </c>
      <c r="L70" cm="1">
        <f t="array" ref="L70">_xlfn.IFS('Form responses 1'!L70 = "Selected", 1, 'Form responses 1'!L70 = "Not Selected", 0, 0, TRUE)</f>
        <v>1</v>
      </c>
      <c r="M70" cm="1">
        <f t="array" ref="M70">_xlfn.IFS('Form responses 1'!M70 = "Selected", 1, 'Form responses 1'!M70 = "Not Selected", 0, 0, TRUE)</f>
        <v>1</v>
      </c>
      <c r="N70" cm="1">
        <f t="array" ref="N70">_xlfn.IFS('Form responses 1'!N70 = "Selected", 1, 'Form responses 1'!N70 = "Not Selected", 0, 0, TRUE)</f>
        <v>1</v>
      </c>
      <c r="O70" cm="1">
        <f t="array" ref="O70">_xlfn.IFS('Form responses 1'!O70 = "Yes", 1, 'Form responses 1'!O70 = "No", 2, 0, TRUE)</f>
        <v>2</v>
      </c>
      <c r="P70" cm="1">
        <f t="array" ref="P70">_xlfn.IFS('Form responses 1'!P70 = "Yes", 1, 'Form responses 1'!P70 = "No", 2, 'Form responses 1'!P70 = "Not sure", 3, 0, TRUE)</f>
        <v>2</v>
      </c>
      <c r="Q70" cm="1">
        <f t="array" ref="Q70">_xlfn.IFS('Form responses 1'!Q70 = "Yes", 1, 'Form responses 1'!Q70 = "No", 2, 0, TRUE)</f>
        <v>2</v>
      </c>
      <c r="R70" cm="1">
        <f t="array" ref="R70">_xlfn.IFS('Form responses 1'!R70 = "Yes", 1, 'Form responses 1'!R70 = "No", 2, 0, TRUE)</f>
        <v>2</v>
      </c>
      <c r="S70" cm="1">
        <f t="array" ref="S70">_xlfn.IFS('Form responses 1'!S70 = "Severely embarrassed", 1, 'Form responses 1'!S70 = "Somewhat uncomfortable", 2, 'Form responses 1'!S70= "Not affected", 3, 'Form responses 1'!S70= "Indifferent", 4, 0, TRUE)</f>
        <v>3</v>
      </c>
      <c r="T70" cm="1">
        <f t="array" ref="T70">_xlfn.IFS('Form responses 1'!T70 = "Yes", 1, 'Form responses 1'!T70 = "No", 2, 'Form responses 1'!T70 = "Not sure", 3, 0, TRUE)</f>
        <v>2</v>
      </c>
      <c r="U70" cm="1">
        <f t="array" ref="U70">_xlfn.IFS('Form responses 1'!U70 = "Strongly agree", 1, 'Form responses 1'!U70 = "Agree", 2, 'Form responses 1'!U70 = "Neutral", 3, 'Form responses 1'!U70 = "Disagree", 4, 0, TRUE)</f>
        <v>3</v>
      </c>
      <c r="V70" cm="1">
        <f t="array" ref="V70">_xlfn.IFS('Form responses 1'!V70 = "Selected", 1, 'Form responses 1'!V70 = "Not Selected", 0, 0, TRUE)</f>
        <v>1</v>
      </c>
      <c r="W70" cm="1">
        <f t="array" ref="W70">_xlfn.IFS('Form responses 1'!W70 = "Selected", 1, 'Form responses 1'!W70 = "Not Selected", 0, 0, TRUE)</f>
        <v>0</v>
      </c>
      <c r="X70" cm="1">
        <f t="array" ref="X70">_xlfn.IFS('Form responses 1'!X70 = "Selected", 1, 'Form responses 1'!X70 = "Not Selected", 0, 0, TRUE)</f>
        <v>0</v>
      </c>
      <c r="Y70" cm="1">
        <f t="array" ref="Y70">_xlfn.IFS('Form responses 1'!Y70 = "Selected", 1, 'Form responses 1'!Y70 = "Not Selected", 0, 0, TRUE)</f>
        <v>0</v>
      </c>
      <c r="Z70" cm="1">
        <f t="array" ref="Z70">_xlfn.IFS('Form responses 1'!Z70 = "Selected", 1, 'Form responses 1'!Z70 = "Not Selected", 0, 0, TRUE)</f>
        <v>1</v>
      </c>
      <c r="AA70" cm="1">
        <f t="array" ref="AA70">_xlfn.IFS('Form responses 1'!AA70 = "Very effective", 1, 'Form responses 1'!AA70 = "Somewhat effective", 2, 'Form responses 1'!AA70 = "Not effective", 3, 'Form responses 1'!AA70 = "Made it worse", 4, 0, TRUE)</f>
        <v>1</v>
      </c>
      <c r="AB70" cm="1">
        <f t="array" ref="AB70">_xlfn.IFS('Form responses 1'!AB70 = "Yes", 1, 'Form responses 1'!AB70 = "No", 2, 'Form responses 1'!AB70 = "Not sure", 3, 0, TRUE)</f>
        <v>1</v>
      </c>
      <c r="AC70" cm="1">
        <f t="array" ref="AC70">_xlfn.IFS('Form responses 1'!AC70 = "Yes", 1, 'Form responses 1'!AC70 = "No", 2, 0, TRUE)</f>
        <v>1</v>
      </c>
    </row>
    <row r="71" spans="1:29" x14ac:dyDescent="0.2">
      <c r="A71" cm="1">
        <f t="array" ref="A71">_xlfn.IFS('Form responses 1'!A71 = "18-24 years", 1, 'Form responses 1'!A71 = "25-34 years", 2, 'Form responses 1'!A71= "35-44 years", 3, 'Form responses 1'!A71= "45-54 years", 4, 'Form responses 1'!A71= "55-64 years", 5, 'Form responses 1'!A71= "65 &amp; above", 6, 0, TRUE)</f>
        <v>1</v>
      </c>
      <c r="B71" cm="1">
        <f t="array" ref="B71">_xlfn.IFS('Form responses 1'!B71 = "Female", 1, 'Form responses 1'!B71 = "Male", 2, 0, TRUE)</f>
        <v>2</v>
      </c>
      <c r="C71" t="s">
        <v>77</v>
      </c>
      <c r="D71" cm="1">
        <f t="array" ref="D71">_xlfn.IFS('Form responses 1'!D71 = "Once", 1, 'Form responses 1'!D71 = "Twice", 2, 'Form responses 1'!D71= "More than twice", 3, 'Form responses 1'!D71= "Occasionally", 4, 0, TRUE)</f>
        <v>2</v>
      </c>
      <c r="E71" cm="1">
        <f t="array" ref="E71">_xlfn.IFS('Form responses 1'!E71 = "Selected", 1, 'Form responses 1'!E71 = "Not Selected", 0, 0, TRUE)</f>
        <v>1</v>
      </c>
      <c r="F71" cm="1">
        <f t="array" ref="F71">_xlfn.IFS('Form responses 1'!F71 = "Selected", 1, 'Form responses 1'!F71 = "Not Selected", 0, 0, TRUE)</f>
        <v>0</v>
      </c>
      <c r="G71" cm="1">
        <f t="array" ref="G71">_xlfn.IFS('Form responses 1'!G71 = "Selected", 1, 'Form responses 1'!G71 = "Not Selected", 0, 0, TRUE)</f>
        <v>1</v>
      </c>
      <c r="H71" cm="1">
        <f t="array" ref="H71">_xlfn.IFS('Form responses 1'!H71 = "Selected", 1, 'Form responses 1'!H71 = "Not Selected", 0, 0, TRUE)</f>
        <v>0</v>
      </c>
      <c r="I71" cm="1">
        <f t="array" ref="I71">_xlfn.IFS('Form responses 1'!I71 = "Selected", 1, 'Form responses 1'!I71 = "Not Selected", 0, 0, TRUE)</f>
        <v>0</v>
      </c>
      <c r="J71" cm="1">
        <f t="array" ref="J71">_xlfn.IFS('Form responses 1'!J71 = "Selected", 1, 'Form responses 1'!J71 = "Not Selected", 0, 0, TRUE)</f>
        <v>0</v>
      </c>
      <c r="K71" cm="1">
        <f t="array" ref="K71">_xlfn.IFS('Form responses 1'!K71 = "Selected", 1, 'Form responses 1'!K71 = "Not Selected", 0, 0, TRUE)</f>
        <v>0</v>
      </c>
      <c r="L71" cm="1">
        <f t="array" ref="L71">_xlfn.IFS('Form responses 1'!L71 = "Selected", 1, 'Form responses 1'!L71 = "Not Selected", 0, 0, TRUE)</f>
        <v>0</v>
      </c>
      <c r="M71" cm="1">
        <f t="array" ref="M71">_xlfn.IFS('Form responses 1'!M71 = "Selected", 1, 'Form responses 1'!M71 = "Not Selected", 0, 0, TRUE)</f>
        <v>1</v>
      </c>
      <c r="N71" cm="1">
        <f t="array" ref="N71">_xlfn.IFS('Form responses 1'!N71 = "Selected", 1, 'Form responses 1'!N71 = "Not Selected", 0, 0, TRUE)</f>
        <v>0</v>
      </c>
      <c r="O71" cm="1">
        <f t="array" ref="O71">_xlfn.IFS('Form responses 1'!O71 = "Yes", 1, 'Form responses 1'!O71 = "No", 2, 0, TRUE)</f>
        <v>1</v>
      </c>
      <c r="P71" cm="1">
        <f t="array" ref="P71">_xlfn.IFS('Form responses 1'!P71 = "Yes", 1, 'Form responses 1'!P71 = "No", 2, 'Form responses 1'!P71 = "Not sure", 3, 0, TRUE)</f>
        <v>2</v>
      </c>
      <c r="Q71" cm="1">
        <f t="array" ref="Q71">_xlfn.IFS('Form responses 1'!Q71 = "Yes", 1, 'Form responses 1'!Q71 = "No", 2, 0, TRUE)</f>
        <v>2</v>
      </c>
      <c r="R71" cm="1">
        <f t="array" ref="R71">_xlfn.IFS('Form responses 1'!R71 = "Yes", 1, 'Form responses 1'!R71 = "No", 2, 0, TRUE)</f>
        <v>2</v>
      </c>
      <c r="S71" cm="1">
        <f t="array" ref="S71">_xlfn.IFS('Form responses 1'!S71 = "Severely embarrassed", 1, 'Form responses 1'!S71 = "Somewhat uncomfortable", 2, 'Form responses 1'!S71= "Not affected", 3, 'Form responses 1'!S71= "Indifferent", 4, 0, TRUE)</f>
        <v>3</v>
      </c>
      <c r="T71" cm="1">
        <f t="array" ref="T71">_xlfn.IFS('Form responses 1'!T71 = "Yes", 1, 'Form responses 1'!T71 = "No", 2, 'Form responses 1'!T71 = "Not sure", 3, 0, TRUE)</f>
        <v>2</v>
      </c>
      <c r="U71" cm="1">
        <f t="array" ref="U71">_xlfn.IFS('Form responses 1'!U71 = "Strongly agree", 1, 'Form responses 1'!U71 = "Agree", 2, 'Form responses 1'!U71 = "Neutral", 3, 'Form responses 1'!U71 = "Disagree", 4, 0, TRUE)</f>
        <v>2</v>
      </c>
      <c r="V71" cm="1">
        <f t="array" ref="V71">_xlfn.IFS('Form responses 1'!V71 = "Selected", 1, 'Form responses 1'!V71 = "Not Selected", 0, 0, TRUE)</f>
        <v>1</v>
      </c>
      <c r="W71" cm="1">
        <f t="array" ref="W71">_xlfn.IFS('Form responses 1'!W71 = "Selected", 1, 'Form responses 1'!W71 = "Not Selected", 0, 0, TRUE)</f>
        <v>0</v>
      </c>
      <c r="X71" cm="1">
        <f t="array" ref="X71">_xlfn.IFS('Form responses 1'!X71 = "Selected", 1, 'Form responses 1'!X71 = "Not Selected", 0, 0, TRUE)</f>
        <v>1</v>
      </c>
      <c r="Y71" cm="1">
        <f t="array" ref="Y71">_xlfn.IFS('Form responses 1'!Y71 = "Selected", 1, 'Form responses 1'!Y71 = "Not Selected", 0, 0, TRUE)</f>
        <v>0</v>
      </c>
      <c r="Z71" cm="1">
        <f t="array" ref="Z71">_xlfn.IFS('Form responses 1'!Z71 = "Selected", 1, 'Form responses 1'!Z71 = "Not Selected", 0, 0, TRUE)</f>
        <v>1</v>
      </c>
      <c r="AA71" cm="1">
        <f t="array" ref="AA71">_xlfn.IFS('Form responses 1'!AA71 = "Very effective", 1, 'Form responses 1'!AA71 = "Somewhat effective", 2, 'Form responses 1'!AA71 = "Not effective", 3, 'Form responses 1'!AA71 = "Made it worse", 4, 0, TRUE)</f>
        <v>1</v>
      </c>
      <c r="AB71" cm="1">
        <f t="array" ref="AB71">_xlfn.IFS('Form responses 1'!AB71 = "Yes", 1, 'Form responses 1'!AB71 = "No", 2, 'Form responses 1'!AB71 = "Not sure", 3, 0, TRUE)</f>
        <v>1</v>
      </c>
      <c r="AC71" cm="1">
        <f t="array" ref="AC71">_xlfn.IFS('Form responses 1'!AC71 = "Yes", 1, 'Form responses 1'!AC71 = "No", 2, 0, TRUE)</f>
        <v>1</v>
      </c>
    </row>
    <row r="72" spans="1:29" x14ac:dyDescent="0.2">
      <c r="A72" cm="1">
        <f t="array" ref="A72">_xlfn.IFS('Form responses 1'!A72 = "18-24 years", 1, 'Form responses 1'!A72 = "25-34 years", 2, 'Form responses 1'!A72= "35-44 years", 3, 'Form responses 1'!A72= "45-54 years", 4, 'Form responses 1'!A72= "55-64 years", 5, 'Form responses 1'!A72= "65 &amp; above", 6, 0, TRUE)</f>
        <v>1</v>
      </c>
      <c r="B72" cm="1">
        <f t="array" ref="B72">_xlfn.IFS('Form responses 1'!B72 = "Female", 1, 'Form responses 1'!B72 = "Male", 2, 0, TRUE)</f>
        <v>1</v>
      </c>
      <c r="C72" t="s">
        <v>36</v>
      </c>
      <c r="D72" cm="1">
        <f t="array" ref="D72">_xlfn.IFS('Form responses 1'!D72 = "Once", 1, 'Form responses 1'!D72 = "Twice", 2, 'Form responses 1'!D72= "More than twice", 3, 'Form responses 1'!D72= "Occasionally", 4, 0, TRUE)</f>
        <v>2</v>
      </c>
      <c r="E72" cm="1">
        <f t="array" ref="E72">_xlfn.IFS('Form responses 1'!E72 = "Selected", 1, 'Form responses 1'!E72 = "Not Selected", 0, 0, TRUE)</f>
        <v>0</v>
      </c>
      <c r="F72" cm="1">
        <f t="array" ref="F72">_xlfn.IFS('Form responses 1'!F72 = "Selected", 1, 'Form responses 1'!F72 = "Not Selected", 0, 0, TRUE)</f>
        <v>1</v>
      </c>
      <c r="G72" cm="1">
        <f t="array" ref="G72">_xlfn.IFS('Form responses 1'!G72 = "Selected", 1, 'Form responses 1'!G72 = "Not Selected", 0, 0, TRUE)</f>
        <v>0</v>
      </c>
      <c r="H72" cm="1">
        <f t="array" ref="H72">_xlfn.IFS('Form responses 1'!H72 = "Selected", 1, 'Form responses 1'!H72 = "Not Selected", 0, 0, TRUE)</f>
        <v>0</v>
      </c>
      <c r="I72" cm="1">
        <f t="array" ref="I72">_xlfn.IFS('Form responses 1'!I72 = "Selected", 1, 'Form responses 1'!I72 = "Not Selected", 0, 0, TRUE)</f>
        <v>0</v>
      </c>
      <c r="J72" cm="1">
        <f t="array" ref="J72">_xlfn.IFS('Form responses 1'!J72 = "Selected", 1, 'Form responses 1'!J72 = "Not Selected", 0, 0, TRUE)</f>
        <v>1</v>
      </c>
      <c r="K72" cm="1">
        <f t="array" ref="K72">_xlfn.IFS('Form responses 1'!K72 = "Selected", 1, 'Form responses 1'!K72 = "Not Selected", 0, 0, TRUE)</f>
        <v>0</v>
      </c>
      <c r="L72" cm="1">
        <f t="array" ref="L72">_xlfn.IFS('Form responses 1'!L72 = "Selected", 1, 'Form responses 1'!L72 = "Not Selected", 0, 0, TRUE)</f>
        <v>1</v>
      </c>
      <c r="M72" cm="1">
        <f t="array" ref="M72">_xlfn.IFS('Form responses 1'!M72 = "Selected", 1, 'Form responses 1'!M72 = "Not Selected", 0, 0, TRUE)</f>
        <v>1</v>
      </c>
      <c r="N72" cm="1">
        <f t="array" ref="N72">_xlfn.IFS('Form responses 1'!N72 = "Selected", 1, 'Form responses 1'!N72 = "Not Selected", 0, 0, TRUE)</f>
        <v>1</v>
      </c>
      <c r="O72" cm="1">
        <f t="array" ref="O72">_xlfn.IFS('Form responses 1'!O72 = "Yes", 1, 'Form responses 1'!O72 = "No", 2, 0, TRUE)</f>
        <v>2</v>
      </c>
      <c r="P72" cm="1">
        <f t="array" ref="P72">_xlfn.IFS('Form responses 1'!P72 = "Yes", 1, 'Form responses 1'!P72 = "No", 2, 'Form responses 1'!P72 = "Not sure", 3, 0, TRUE)</f>
        <v>3</v>
      </c>
      <c r="Q72" cm="1">
        <f t="array" ref="Q72">_xlfn.IFS('Form responses 1'!Q72 = "Yes", 1, 'Form responses 1'!Q72 = "No", 2, 0, TRUE)</f>
        <v>2</v>
      </c>
      <c r="R72" cm="1">
        <f t="array" ref="R72">_xlfn.IFS('Form responses 1'!R72 = "Yes", 1, 'Form responses 1'!R72 = "No", 2, 0, TRUE)</f>
        <v>2</v>
      </c>
      <c r="S72" cm="1">
        <f t="array" ref="S72">_xlfn.IFS('Form responses 1'!S72 = "Severely embarrassed", 1, 'Form responses 1'!S72 = "Somewhat uncomfortable", 2, 'Form responses 1'!S72= "Not affected", 3, 'Form responses 1'!S72= "Indifferent", 4, 0, TRUE)</f>
        <v>3</v>
      </c>
      <c r="T72" cm="1">
        <f t="array" ref="T72">_xlfn.IFS('Form responses 1'!T72 = "Yes", 1, 'Form responses 1'!T72 = "No", 2, 'Form responses 1'!T72 = "Not sure", 3, 0, TRUE)</f>
        <v>2</v>
      </c>
      <c r="U72" cm="1">
        <f t="array" ref="U72">_xlfn.IFS('Form responses 1'!U72 = "Strongly agree", 1, 'Form responses 1'!U72 = "Agree", 2, 'Form responses 1'!U72 = "Neutral", 3, 'Form responses 1'!U72 = "Disagree", 4, 0, TRUE)</f>
        <v>2</v>
      </c>
      <c r="V72" cm="1">
        <f t="array" ref="V72">_xlfn.IFS('Form responses 1'!V72 = "Selected", 1, 'Form responses 1'!V72 = "Not Selected", 0, 0, TRUE)</f>
        <v>0</v>
      </c>
      <c r="W72" cm="1">
        <f t="array" ref="W72">_xlfn.IFS('Form responses 1'!W72 = "Selected", 1, 'Form responses 1'!W72 = "Not Selected", 0, 0, TRUE)</f>
        <v>0</v>
      </c>
      <c r="X72" cm="1">
        <f t="array" ref="X72">_xlfn.IFS('Form responses 1'!X72 = "Selected", 1, 'Form responses 1'!X72 = "Not Selected", 0, 0, TRUE)</f>
        <v>0</v>
      </c>
      <c r="Y72" cm="1">
        <f t="array" ref="Y72">_xlfn.IFS('Form responses 1'!Y72 = "Selected", 1, 'Form responses 1'!Y72 = "Not Selected", 0, 0, TRUE)</f>
        <v>0</v>
      </c>
      <c r="Z72" cm="1">
        <f t="array" ref="Z72">_xlfn.IFS('Form responses 1'!Z72 = "Selected", 1, 'Form responses 1'!Z72 = "Not Selected", 0, 0, TRUE)</f>
        <v>1</v>
      </c>
      <c r="AA72" cm="1">
        <f t="array" ref="AA72">_xlfn.IFS('Form responses 1'!AA72 = "Very effective", 1, 'Form responses 1'!AA72 = "Somewhat effective", 2, 'Form responses 1'!AA72 = "Not effective", 3, 'Form responses 1'!AA72 = "Made it worse", 4, 0, TRUE)</f>
        <v>1</v>
      </c>
      <c r="AB72" cm="1">
        <f t="array" ref="AB72">_xlfn.IFS('Form responses 1'!AB72 = "Yes", 1, 'Form responses 1'!AB72 = "No", 2, 'Form responses 1'!AB72 = "Not sure", 3, 0, TRUE)</f>
        <v>3</v>
      </c>
      <c r="AC72" cm="1">
        <f t="array" ref="AC72">_xlfn.IFS('Form responses 1'!AC72 = "Yes", 1, 'Form responses 1'!AC72 = "No", 2, 0, TRUE)</f>
        <v>1</v>
      </c>
    </row>
    <row r="73" spans="1:29" x14ac:dyDescent="0.2">
      <c r="A73" cm="1">
        <f t="array" ref="A73">_xlfn.IFS('Form responses 1'!A73 = "18-24 years", 1, 'Form responses 1'!A73 = "25-34 years", 2, 'Form responses 1'!A73= "35-44 years", 3, 'Form responses 1'!A73= "45-54 years", 4, 'Form responses 1'!A73= "55-64 years", 5, 'Form responses 1'!A73= "65 &amp; above", 6, 0, TRUE)</f>
        <v>2</v>
      </c>
      <c r="B73" cm="1">
        <f t="array" ref="B73">_xlfn.IFS('Form responses 1'!B73 = "Female", 1, 'Form responses 1'!B73 = "Male", 2, 0, TRUE)</f>
        <v>1</v>
      </c>
      <c r="C73" t="s">
        <v>73</v>
      </c>
      <c r="D73" cm="1">
        <f t="array" ref="D73">_xlfn.IFS('Form responses 1'!D73 = "Once", 1, 'Form responses 1'!D73 = "Twice", 2, 'Form responses 1'!D73= "More than twice", 3, 'Form responses 1'!D73= "Occasionally", 4, 0, TRUE)</f>
        <v>2</v>
      </c>
      <c r="E73" cm="1">
        <f t="array" ref="E73">_xlfn.IFS('Form responses 1'!E73 = "Selected", 1, 'Form responses 1'!E73 = "Not Selected", 0, 0, TRUE)</f>
        <v>0</v>
      </c>
      <c r="F73" cm="1">
        <f t="array" ref="F73">_xlfn.IFS('Form responses 1'!F73 = "Selected", 1, 'Form responses 1'!F73 = "Not Selected", 0, 0, TRUE)</f>
        <v>1</v>
      </c>
      <c r="G73" cm="1">
        <f t="array" ref="G73">_xlfn.IFS('Form responses 1'!G73 = "Selected", 1, 'Form responses 1'!G73 = "Not Selected", 0, 0, TRUE)</f>
        <v>0</v>
      </c>
      <c r="H73" cm="1">
        <f t="array" ref="H73">_xlfn.IFS('Form responses 1'!H73 = "Selected", 1, 'Form responses 1'!H73 = "Not Selected", 0, 0, TRUE)</f>
        <v>0</v>
      </c>
      <c r="I73" cm="1">
        <f t="array" ref="I73">_xlfn.IFS('Form responses 1'!I73 = "Selected", 1, 'Form responses 1'!I73 = "Not Selected", 0, 0, TRUE)</f>
        <v>0</v>
      </c>
      <c r="J73" cm="1">
        <f t="array" ref="J73">_xlfn.IFS('Form responses 1'!J73 = "Selected", 1, 'Form responses 1'!J73 = "Not Selected", 0, 0, TRUE)</f>
        <v>1</v>
      </c>
      <c r="K73" cm="1">
        <f t="array" ref="K73">_xlfn.IFS('Form responses 1'!K73 = "Selected", 1, 'Form responses 1'!K73 = "Not Selected", 0, 0, TRUE)</f>
        <v>0</v>
      </c>
      <c r="L73" cm="1">
        <f t="array" ref="L73">_xlfn.IFS('Form responses 1'!L73 = "Selected", 1, 'Form responses 1'!L73 = "Not Selected", 0, 0, TRUE)</f>
        <v>1</v>
      </c>
      <c r="M73" cm="1">
        <f t="array" ref="M73">_xlfn.IFS('Form responses 1'!M73 = "Selected", 1, 'Form responses 1'!M73 = "Not Selected", 0, 0, TRUE)</f>
        <v>1</v>
      </c>
      <c r="N73" cm="1">
        <f t="array" ref="N73">_xlfn.IFS('Form responses 1'!N73 = "Selected", 1, 'Form responses 1'!N73 = "Not Selected", 0, 0, TRUE)</f>
        <v>0</v>
      </c>
      <c r="O73" cm="1">
        <f t="array" ref="O73">_xlfn.IFS('Form responses 1'!O73 = "Yes", 1, 'Form responses 1'!O73 = "No", 2, 0, TRUE)</f>
        <v>2</v>
      </c>
      <c r="P73" cm="1">
        <f t="array" ref="P73">_xlfn.IFS('Form responses 1'!P73 = "Yes", 1, 'Form responses 1'!P73 = "No", 2, 'Form responses 1'!P73 = "Not sure", 3, 0, TRUE)</f>
        <v>3</v>
      </c>
      <c r="Q73" cm="1">
        <f t="array" ref="Q73">_xlfn.IFS('Form responses 1'!Q73 = "Yes", 1, 'Form responses 1'!Q73 = "No", 2, 0, TRUE)</f>
        <v>2</v>
      </c>
      <c r="R73" cm="1">
        <f t="array" ref="R73">_xlfn.IFS('Form responses 1'!R73 = "Yes", 1, 'Form responses 1'!R73 = "No", 2, 0, TRUE)</f>
        <v>2</v>
      </c>
      <c r="S73" cm="1">
        <f t="array" ref="S73">_xlfn.IFS('Form responses 1'!S73 = "Severely embarrassed", 1, 'Form responses 1'!S73 = "Somewhat uncomfortable", 2, 'Form responses 1'!S73= "Not affected", 3, 'Form responses 1'!S73= "Indifferent", 4, 0, TRUE)</f>
        <v>3</v>
      </c>
      <c r="T73" cm="1">
        <f t="array" ref="T73">_xlfn.IFS('Form responses 1'!T73 = "Yes", 1, 'Form responses 1'!T73 = "No", 2, 'Form responses 1'!T73 = "Not sure", 3, 0, TRUE)</f>
        <v>2</v>
      </c>
      <c r="U73" cm="1">
        <f t="array" ref="U73">_xlfn.IFS('Form responses 1'!U73 = "Strongly agree", 1, 'Form responses 1'!U73 = "Agree", 2, 'Form responses 1'!U73 = "Neutral", 3, 'Form responses 1'!U73 = "Disagree", 4, 0, TRUE)</f>
        <v>1</v>
      </c>
      <c r="V73" cm="1">
        <f t="array" ref="V73">_xlfn.IFS('Form responses 1'!V73 = "Selected", 1, 'Form responses 1'!V73 = "Not Selected", 0, 0, TRUE)</f>
        <v>0</v>
      </c>
      <c r="W73" cm="1">
        <f t="array" ref="W73">_xlfn.IFS('Form responses 1'!W73 = "Selected", 1, 'Form responses 1'!W73 = "Not Selected", 0, 0, TRUE)</f>
        <v>0</v>
      </c>
      <c r="X73" cm="1">
        <f t="array" ref="X73">_xlfn.IFS('Form responses 1'!X73 = "Selected", 1, 'Form responses 1'!X73 = "Not Selected", 0, 0, TRUE)</f>
        <v>0</v>
      </c>
      <c r="Y73" cm="1">
        <f t="array" ref="Y73">_xlfn.IFS('Form responses 1'!Y73 = "Selected", 1, 'Form responses 1'!Y73 = "Not Selected", 0, 0, TRUE)</f>
        <v>0</v>
      </c>
      <c r="Z73" cm="1">
        <f t="array" ref="Z73">_xlfn.IFS('Form responses 1'!Z73 = "Selected", 1, 'Form responses 1'!Z73 = "Not Selected", 0, 0, TRUE)</f>
        <v>1</v>
      </c>
      <c r="AA73" cm="1">
        <f t="array" ref="AA73">_xlfn.IFS('Form responses 1'!AA73 = "Very effective", 1, 'Form responses 1'!AA73 = "Somewhat effective", 2, 'Form responses 1'!AA73 = "Not effective", 3, 'Form responses 1'!AA73 = "Made it worse", 4, 0, TRUE)</f>
        <v>1</v>
      </c>
      <c r="AB73" cm="1">
        <f t="array" ref="AB73">_xlfn.IFS('Form responses 1'!AB73 = "Yes", 1, 'Form responses 1'!AB73 = "No", 2, 'Form responses 1'!AB73 = "Not sure", 3, 0, TRUE)</f>
        <v>2</v>
      </c>
      <c r="AC73" cm="1">
        <f t="array" ref="AC73">_xlfn.IFS('Form responses 1'!AC73 = "Yes", 1, 'Form responses 1'!AC73 = "No", 2, 0, TRUE)</f>
        <v>1</v>
      </c>
    </row>
    <row r="74" spans="1:29" x14ac:dyDescent="0.2">
      <c r="A74" cm="1">
        <f t="array" ref="A74">_xlfn.IFS('Form responses 1'!A74 = "18-24 years", 1, 'Form responses 1'!A74 = "25-34 years", 2, 'Form responses 1'!A74= "35-44 years", 3, 'Form responses 1'!A74= "45-54 years", 4, 'Form responses 1'!A74= "55-64 years", 5, 'Form responses 1'!A74= "65 &amp; above", 6, 0, TRUE)</f>
        <v>2</v>
      </c>
      <c r="B74" cm="1">
        <f t="array" ref="B74">_xlfn.IFS('Form responses 1'!B74 = "Female", 1, 'Form responses 1'!B74 = "Male", 2, 0, TRUE)</f>
        <v>1</v>
      </c>
      <c r="C74" t="s">
        <v>78</v>
      </c>
      <c r="D74" cm="1">
        <f t="array" ref="D74">_xlfn.IFS('Form responses 1'!D74 = "Once", 1, 'Form responses 1'!D74 = "Twice", 2, 'Form responses 1'!D74= "More than twice", 3, 'Form responses 1'!D74= "Occasionally", 4, 0, TRUE)</f>
        <v>2</v>
      </c>
      <c r="E74" cm="1">
        <f t="array" ref="E74">_xlfn.IFS('Form responses 1'!E74 = "Selected", 1, 'Form responses 1'!E74 = "Not Selected", 0, 0, TRUE)</f>
        <v>1</v>
      </c>
      <c r="F74" cm="1">
        <f t="array" ref="F74">_xlfn.IFS('Form responses 1'!F74 = "Selected", 1, 'Form responses 1'!F74 = "Not Selected", 0, 0, TRUE)</f>
        <v>1</v>
      </c>
      <c r="G74" cm="1">
        <f t="array" ref="G74">_xlfn.IFS('Form responses 1'!G74 = "Selected", 1, 'Form responses 1'!G74 = "Not Selected", 0, 0, TRUE)</f>
        <v>0</v>
      </c>
      <c r="H74" cm="1">
        <f t="array" ref="H74">_xlfn.IFS('Form responses 1'!H74 = "Selected", 1, 'Form responses 1'!H74 = "Not Selected", 0, 0, TRUE)</f>
        <v>1</v>
      </c>
      <c r="I74" cm="1">
        <f t="array" ref="I74">_xlfn.IFS('Form responses 1'!I74 = "Selected", 1, 'Form responses 1'!I74 = "Not Selected", 0, 0, TRUE)</f>
        <v>0</v>
      </c>
      <c r="J74" cm="1">
        <f t="array" ref="J74">_xlfn.IFS('Form responses 1'!J74 = "Selected", 1, 'Form responses 1'!J74 = "Not Selected", 0, 0, TRUE)</f>
        <v>1</v>
      </c>
      <c r="K74" cm="1">
        <f t="array" ref="K74">_xlfn.IFS('Form responses 1'!K74 = "Selected", 1, 'Form responses 1'!K74 = "Not Selected", 0, 0, TRUE)</f>
        <v>1</v>
      </c>
      <c r="L74" cm="1">
        <f t="array" ref="L74">_xlfn.IFS('Form responses 1'!L74 = "Selected", 1, 'Form responses 1'!L74 = "Not Selected", 0, 0, TRUE)</f>
        <v>1</v>
      </c>
      <c r="M74" cm="1">
        <f t="array" ref="M74">_xlfn.IFS('Form responses 1'!M74 = "Selected", 1, 'Form responses 1'!M74 = "Not Selected", 0, 0, TRUE)</f>
        <v>1</v>
      </c>
      <c r="N74" cm="1">
        <f t="array" ref="N74">_xlfn.IFS('Form responses 1'!N74 = "Selected", 1, 'Form responses 1'!N74 = "Not Selected", 0, 0, TRUE)</f>
        <v>1</v>
      </c>
      <c r="O74" cm="1">
        <f t="array" ref="O74">_xlfn.IFS('Form responses 1'!O74 = "Yes", 1, 'Form responses 1'!O74 = "No", 2, 0, TRUE)</f>
        <v>2</v>
      </c>
      <c r="P74" cm="1">
        <f t="array" ref="P74">_xlfn.IFS('Form responses 1'!P74 = "Yes", 1, 'Form responses 1'!P74 = "No", 2, 'Form responses 1'!P74 = "Not sure", 3, 0, TRUE)</f>
        <v>1</v>
      </c>
      <c r="Q74" cm="1">
        <f t="array" ref="Q74">_xlfn.IFS('Form responses 1'!Q74 = "Yes", 1, 'Form responses 1'!Q74 = "No", 2, 0, TRUE)</f>
        <v>2</v>
      </c>
      <c r="R74" cm="1">
        <f t="array" ref="R74">_xlfn.IFS('Form responses 1'!R74 = "Yes", 1, 'Form responses 1'!R74 = "No", 2, 0, TRUE)</f>
        <v>2</v>
      </c>
      <c r="S74" cm="1">
        <f t="array" ref="S74">_xlfn.IFS('Form responses 1'!S74 = "Severely embarrassed", 1, 'Form responses 1'!S74 = "Somewhat uncomfortable", 2, 'Form responses 1'!S74= "Not affected", 3, 'Form responses 1'!S74= "Indifferent", 4, 0, TRUE)</f>
        <v>3</v>
      </c>
      <c r="T74" cm="1">
        <f t="array" ref="T74">_xlfn.IFS('Form responses 1'!T74 = "Yes", 1, 'Form responses 1'!T74 = "No", 2, 'Form responses 1'!T74 = "Not sure", 3, 0, TRUE)</f>
        <v>1</v>
      </c>
      <c r="U74" cm="1">
        <f t="array" ref="U74">_xlfn.IFS('Form responses 1'!U74 = "Strongly agree", 1, 'Form responses 1'!U74 = "Agree", 2, 'Form responses 1'!U74 = "Neutral", 3, 'Form responses 1'!U74 = "Disagree", 4, 0, TRUE)</f>
        <v>1</v>
      </c>
      <c r="V74" cm="1">
        <f t="array" ref="V74">_xlfn.IFS('Form responses 1'!V74 = "Selected", 1, 'Form responses 1'!V74 = "Not Selected", 0, 0, TRUE)</f>
        <v>1</v>
      </c>
      <c r="W74" cm="1">
        <f t="array" ref="W74">_xlfn.IFS('Form responses 1'!W74 = "Selected", 1, 'Form responses 1'!W74 = "Not Selected", 0, 0, TRUE)</f>
        <v>1</v>
      </c>
      <c r="X74" cm="1">
        <f t="array" ref="X74">_xlfn.IFS('Form responses 1'!X74 = "Selected", 1, 'Form responses 1'!X74 = "Not Selected", 0, 0, TRUE)</f>
        <v>0</v>
      </c>
      <c r="Y74" cm="1">
        <f t="array" ref="Y74">_xlfn.IFS('Form responses 1'!Y74 = "Selected", 1, 'Form responses 1'!Y74 = "Not Selected", 0, 0, TRUE)</f>
        <v>1</v>
      </c>
      <c r="Z74" cm="1">
        <f t="array" ref="Z74">_xlfn.IFS('Form responses 1'!Z74 = "Selected", 1, 'Form responses 1'!Z74 = "Not Selected", 0, 0, TRUE)</f>
        <v>1</v>
      </c>
      <c r="AA74" cm="1">
        <f t="array" ref="AA74">_xlfn.IFS('Form responses 1'!AA74 = "Very effective", 1, 'Form responses 1'!AA74 = "Somewhat effective", 2, 'Form responses 1'!AA74 = "Not effective", 3, 'Form responses 1'!AA74 = "Made it worse", 4, 0, TRUE)</f>
        <v>1</v>
      </c>
      <c r="AB74" cm="1">
        <f t="array" ref="AB74">_xlfn.IFS('Form responses 1'!AB74 = "Yes", 1, 'Form responses 1'!AB74 = "No", 2, 'Form responses 1'!AB74 = "Not sure", 3, 0, TRUE)</f>
        <v>1</v>
      </c>
      <c r="AC74" cm="1">
        <f t="array" ref="AC74">_xlfn.IFS('Form responses 1'!AC74 = "Yes", 1, 'Form responses 1'!AC74 = "No", 2, 0, TRUE)</f>
        <v>1</v>
      </c>
    </row>
    <row r="75" spans="1:29" x14ac:dyDescent="0.2">
      <c r="A75" cm="1">
        <f t="array" ref="A75">_xlfn.IFS('Form responses 1'!A75 = "18-24 years", 1, 'Form responses 1'!A75 = "25-34 years", 2, 'Form responses 1'!A75= "35-44 years", 3, 'Form responses 1'!A75= "45-54 years", 4, 'Form responses 1'!A75= "55-64 years", 5, 'Form responses 1'!A75= "65 &amp; above", 6, 0, TRUE)</f>
        <v>2</v>
      </c>
      <c r="B75" cm="1">
        <f t="array" ref="B75">_xlfn.IFS('Form responses 1'!B75 = "Female", 1, 'Form responses 1'!B75 = "Male", 2, 0, TRUE)</f>
        <v>1</v>
      </c>
      <c r="C75" t="s">
        <v>50</v>
      </c>
      <c r="D75" cm="1">
        <f t="array" ref="D75">_xlfn.IFS('Form responses 1'!D75 = "Once", 1, 'Form responses 1'!D75 = "Twice", 2, 'Form responses 1'!D75= "More than twice", 3, 'Form responses 1'!D75= "Occasionally", 4, 0, TRUE)</f>
        <v>2</v>
      </c>
      <c r="E75" cm="1">
        <f t="array" ref="E75">_xlfn.IFS('Form responses 1'!E75 = "Selected", 1, 'Form responses 1'!E75 = "Not Selected", 0, 0, TRUE)</f>
        <v>1</v>
      </c>
      <c r="F75" cm="1">
        <f t="array" ref="F75">_xlfn.IFS('Form responses 1'!F75 = "Selected", 1, 'Form responses 1'!F75 = "Not Selected", 0, 0, TRUE)</f>
        <v>0</v>
      </c>
      <c r="G75" cm="1">
        <f t="array" ref="G75">_xlfn.IFS('Form responses 1'!G75 = "Selected", 1, 'Form responses 1'!G75 = "Not Selected", 0, 0, TRUE)</f>
        <v>0</v>
      </c>
      <c r="H75" cm="1">
        <f t="array" ref="H75">_xlfn.IFS('Form responses 1'!H75 = "Selected", 1, 'Form responses 1'!H75 = "Not Selected", 0, 0, TRUE)</f>
        <v>0</v>
      </c>
      <c r="I75" cm="1">
        <f t="array" ref="I75">_xlfn.IFS('Form responses 1'!I75 = "Selected", 1, 'Form responses 1'!I75 = "Not Selected", 0, 0, TRUE)</f>
        <v>0</v>
      </c>
      <c r="J75" cm="1">
        <f t="array" ref="J75">_xlfn.IFS('Form responses 1'!J75 = "Selected", 1, 'Form responses 1'!J75 = "Not Selected", 0, 0, TRUE)</f>
        <v>1</v>
      </c>
      <c r="K75" cm="1">
        <f t="array" ref="K75">_xlfn.IFS('Form responses 1'!K75 = "Selected", 1, 'Form responses 1'!K75 = "Not Selected", 0, 0, TRUE)</f>
        <v>0</v>
      </c>
      <c r="L75" cm="1">
        <f t="array" ref="L75">_xlfn.IFS('Form responses 1'!L75 = "Selected", 1, 'Form responses 1'!L75 = "Not Selected", 0, 0, TRUE)</f>
        <v>0</v>
      </c>
      <c r="M75" cm="1">
        <f t="array" ref="M75">_xlfn.IFS('Form responses 1'!M75 = "Selected", 1, 'Form responses 1'!M75 = "Not Selected", 0, 0, TRUE)</f>
        <v>0</v>
      </c>
      <c r="N75" cm="1">
        <f t="array" ref="N75">_xlfn.IFS('Form responses 1'!N75 = "Selected", 1, 'Form responses 1'!N75 = "Not Selected", 0, 0, TRUE)</f>
        <v>0</v>
      </c>
      <c r="O75" cm="1">
        <f t="array" ref="O75">_xlfn.IFS('Form responses 1'!O75 = "Yes", 1, 'Form responses 1'!O75 = "No", 2, 0, TRUE)</f>
        <v>1</v>
      </c>
      <c r="P75" cm="1">
        <f t="array" ref="P75">_xlfn.IFS('Form responses 1'!P75 = "Yes", 1, 'Form responses 1'!P75 = "No", 2, 'Form responses 1'!P75 = "Not sure", 3, 0, TRUE)</f>
        <v>1</v>
      </c>
      <c r="Q75" cm="1">
        <f t="array" ref="Q75">_xlfn.IFS('Form responses 1'!Q75 = "Yes", 1, 'Form responses 1'!Q75 = "No", 2, 0, TRUE)</f>
        <v>2</v>
      </c>
      <c r="R75" cm="1">
        <f t="array" ref="R75">_xlfn.IFS('Form responses 1'!R75 = "Yes", 1, 'Form responses 1'!R75 = "No", 2, 0, TRUE)</f>
        <v>2</v>
      </c>
      <c r="S75" cm="1">
        <f t="array" ref="S75">_xlfn.IFS('Form responses 1'!S75 = "Severely embarrassed", 1, 'Form responses 1'!S75 = "Somewhat uncomfortable", 2, 'Form responses 1'!S75= "Not affected", 3, 'Form responses 1'!S75= "Indifferent", 4, 0, TRUE)</f>
        <v>3</v>
      </c>
      <c r="T75" cm="1">
        <f t="array" ref="T75">_xlfn.IFS('Form responses 1'!T75 = "Yes", 1, 'Form responses 1'!T75 = "No", 2, 'Form responses 1'!T75 = "Not sure", 3, 0, TRUE)</f>
        <v>2</v>
      </c>
      <c r="U75" cm="1">
        <f t="array" ref="U75">_xlfn.IFS('Form responses 1'!U75 = "Strongly agree", 1, 'Form responses 1'!U75 = "Agree", 2, 'Form responses 1'!U75 = "Neutral", 3, 'Form responses 1'!U75 = "Disagree", 4, 0, TRUE)</f>
        <v>1</v>
      </c>
      <c r="V75" cm="1">
        <f t="array" ref="V75">_xlfn.IFS('Form responses 1'!V75 = "Selected", 1, 'Form responses 1'!V75 = "Not Selected", 0, 0, TRUE)</f>
        <v>0</v>
      </c>
      <c r="W75" cm="1">
        <f t="array" ref="W75">_xlfn.IFS('Form responses 1'!W75 = "Selected", 1, 'Form responses 1'!W75 = "Not Selected", 0, 0, TRUE)</f>
        <v>0</v>
      </c>
      <c r="X75" cm="1">
        <f t="array" ref="X75">_xlfn.IFS('Form responses 1'!X75 = "Selected", 1, 'Form responses 1'!X75 = "Not Selected", 0, 0, TRUE)</f>
        <v>0</v>
      </c>
      <c r="Y75" cm="1">
        <f t="array" ref="Y75">_xlfn.IFS('Form responses 1'!Y75 = "Selected", 1, 'Form responses 1'!Y75 = "Not Selected", 0, 0, TRUE)</f>
        <v>0</v>
      </c>
      <c r="Z75" cm="1">
        <f t="array" ref="Z75">_xlfn.IFS('Form responses 1'!Z75 = "Selected", 1, 'Form responses 1'!Z75 = "Not Selected", 0, 0, TRUE)</f>
        <v>1</v>
      </c>
      <c r="AA75" cm="1">
        <f t="array" ref="AA75">_xlfn.IFS('Form responses 1'!AA75 = "Very effective", 1, 'Form responses 1'!AA75 = "Somewhat effective", 2, 'Form responses 1'!AA75 = "Not effective", 3, 'Form responses 1'!AA75 = "Made it worse", 4, 0, TRUE)</f>
        <v>1</v>
      </c>
      <c r="AB75" cm="1">
        <f t="array" ref="AB75">_xlfn.IFS('Form responses 1'!AB75 = "Yes", 1, 'Form responses 1'!AB75 = "No", 2, 'Form responses 1'!AB75 = "Not sure", 3, 0, TRUE)</f>
        <v>2</v>
      </c>
      <c r="AC75" cm="1">
        <f t="array" ref="AC75">_xlfn.IFS('Form responses 1'!AC75 = "Yes", 1, 'Form responses 1'!AC75 = "No", 2, 0, TRUE)</f>
        <v>1</v>
      </c>
    </row>
    <row r="76" spans="1:29" x14ac:dyDescent="0.2">
      <c r="A76" cm="1">
        <f t="array" ref="A76">_xlfn.IFS('Form responses 1'!A76 = "18-24 years", 1, 'Form responses 1'!A76 = "25-34 years", 2, 'Form responses 1'!A76= "35-44 years", 3, 'Form responses 1'!A76= "45-54 years", 4, 'Form responses 1'!A76= "55-64 years", 5, 'Form responses 1'!A76= "65 &amp; above", 6, 0, TRUE)</f>
        <v>4</v>
      </c>
      <c r="B76" cm="1">
        <f t="array" ref="B76">_xlfn.IFS('Form responses 1'!B76 = "Female", 1, 'Form responses 1'!B76 = "Male", 2, 0, TRUE)</f>
        <v>1</v>
      </c>
      <c r="C76" t="s">
        <v>44</v>
      </c>
      <c r="D76" cm="1">
        <f t="array" ref="D76">_xlfn.IFS('Form responses 1'!D76 = "Once", 1, 'Form responses 1'!D76 = "Twice", 2, 'Form responses 1'!D76= "More than twice", 3, 'Form responses 1'!D76= "Occasionally", 4, 0, TRUE)</f>
        <v>3</v>
      </c>
      <c r="E76" cm="1">
        <f t="array" ref="E76">_xlfn.IFS('Form responses 1'!E76 = "Selected", 1, 'Form responses 1'!E76 = "Not Selected", 0, 0, TRUE)</f>
        <v>1</v>
      </c>
      <c r="F76" cm="1">
        <f t="array" ref="F76">_xlfn.IFS('Form responses 1'!F76 = "Selected", 1, 'Form responses 1'!F76 = "Not Selected", 0, 0, TRUE)</f>
        <v>1</v>
      </c>
      <c r="G76" cm="1">
        <f t="array" ref="G76">_xlfn.IFS('Form responses 1'!G76 = "Selected", 1, 'Form responses 1'!G76 = "Not Selected", 0, 0, TRUE)</f>
        <v>1</v>
      </c>
      <c r="H76" cm="1">
        <f t="array" ref="H76">_xlfn.IFS('Form responses 1'!H76 = "Selected", 1, 'Form responses 1'!H76 = "Not Selected", 0, 0, TRUE)</f>
        <v>0</v>
      </c>
      <c r="I76" cm="1">
        <f t="array" ref="I76">_xlfn.IFS('Form responses 1'!I76 = "Selected", 1, 'Form responses 1'!I76 = "Not Selected", 0, 0, TRUE)</f>
        <v>0</v>
      </c>
      <c r="J76" cm="1">
        <f t="array" ref="J76">_xlfn.IFS('Form responses 1'!J76 = "Selected", 1, 'Form responses 1'!J76 = "Not Selected", 0, 0, TRUE)</f>
        <v>1</v>
      </c>
      <c r="K76" cm="1">
        <f t="array" ref="K76">_xlfn.IFS('Form responses 1'!K76 = "Selected", 1, 'Form responses 1'!K76 = "Not Selected", 0, 0, TRUE)</f>
        <v>1</v>
      </c>
      <c r="L76" cm="1">
        <f t="array" ref="L76">_xlfn.IFS('Form responses 1'!L76 = "Selected", 1, 'Form responses 1'!L76 = "Not Selected", 0, 0, TRUE)</f>
        <v>0</v>
      </c>
      <c r="M76" cm="1">
        <f t="array" ref="M76">_xlfn.IFS('Form responses 1'!M76 = "Selected", 1, 'Form responses 1'!M76 = "Not Selected", 0, 0, TRUE)</f>
        <v>0</v>
      </c>
      <c r="N76" cm="1">
        <f t="array" ref="N76">_xlfn.IFS('Form responses 1'!N76 = "Selected", 1, 'Form responses 1'!N76 = "Not Selected", 0, 0, TRUE)</f>
        <v>0</v>
      </c>
      <c r="O76" cm="1">
        <f t="array" ref="O76">_xlfn.IFS('Form responses 1'!O76 = "Yes", 1, 'Form responses 1'!O76 = "No", 2, 0, TRUE)</f>
        <v>2</v>
      </c>
      <c r="P76" cm="1">
        <f t="array" ref="P76">_xlfn.IFS('Form responses 1'!P76 = "Yes", 1, 'Form responses 1'!P76 = "No", 2, 'Form responses 1'!P76 = "Not sure", 3, 0, TRUE)</f>
        <v>3</v>
      </c>
      <c r="Q76" cm="1">
        <f t="array" ref="Q76">_xlfn.IFS('Form responses 1'!Q76 = "Yes", 1, 'Form responses 1'!Q76 = "No", 2, 0, TRUE)</f>
        <v>2</v>
      </c>
      <c r="R76" cm="1">
        <f t="array" ref="R76">_xlfn.IFS('Form responses 1'!R76 = "Yes", 1, 'Form responses 1'!R76 = "No", 2, 0, TRUE)</f>
        <v>2</v>
      </c>
      <c r="S76" cm="1">
        <f t="array" ref="S76">_xlfn.IFS('Form responses 1'!S76 = "Severely embarrassed", 1, 'Form responses 1'!S76 = "Somewhat uncomfortable", 2, 'Form responses 1'!S76= "Not affected", 3, 'Form responses 1'!S76= "Indifferent", 4, 0, TRUE)</f>
        <v>3</v>
      </c>
      <c r="T76" cm="1">
        <f t="array" ref="T76">_xlfn.IFS('Form responses 1'!T76 = "Yes", 1, 'Form responses 1'!T76 = "No", 2, 'Form responses 1'!T76 = "Not sure", 3, 0, TRUE)</f>
        <v>2</v>
      </c>
      <c r="U76" cm="1">
        <f t="array" ref="U76">_xlfn.IFS('Form responses 1'!U76 = "Strongly agree", 1, 'Form responses 1'!U76 = "Agree", 2, 'Form responses 1'!U76 = "Neutral", 3, 'Form responses 1'!U76 = "Disagree", 4, 0, TRUE)</f>
        <v>1</v>
      </c>
      <c r="V76" cm="1">
        <f t="array" ref="V76">_xlfn.IFS('Form responses 1'!V76 = "Selected", 1, 'Form responses 1'!V76 = "Not Selected", 0, 0, TRUE)</f>
        <v>1</v>
      </c>
      <c r="W76" cm="1">
        <f t="array" ref="W76">_xlfn.IFS('Form responses 1'!W76 = "Selected", 1, 'Form responses 1'!W76 = "Not Selected", 0, 0, TRUE)</f>
        <v>0</v>
      </c>
      <c r="X76" cm="1">
        <f t="array" ref="X76">_xlfn.IFS('Form responses 1'!X76 = "Selected", 1, 'Form responses 1'!X76 = "Not Selected", 0, 0, TRUE)</f>
        <v>0</v>
      </c>
      <c r="Y76" cm="1">
        <f t="array" ref="Y76">_xlfn.IFS('Form responses 1'!Y76 = "Selected", 1, 'Form responses 1'!Y76 = "Not Selected", 0, 0, TRUE)</f>
        <v>0</v>
      </c>
      <c r="Z76" cm="1">
        <f t="array" ref="Z76">_xlfn.IFS('Form responses 1'!Z76 = "Selected", 1, 'Form responses 1'!Z76 = "Not Selected", 0, 0, TRUE)</f>
        <v>1</v>
      </c>
      <c r="AA76" cm="1">
        <f t="array" ref="AA76">_xlfn.IFS('Form responses 1'!AA76 = "Very effective", 1, 'Form responses 1'!AA76 = "Somewhat effective", 2, 'Form responses 1'!AA76 = "Not effective", 3, 'Form responses 1'!AA76 = "Made it worse", 4, 0, TRUE)</f>
        <v>1</v>
      </c>
      <c r="AB76" cm="1">
        <f t="array" ref="AB76">_xlfn.IFS('Form responses 1'!AB76 = "Yes", 1, 'Form responses 1'!AB76 = "No", 2, 'Form responses 1'!AB76 = "Not sure", 3, 0, TRUE)</f>
        <v>1</v>
      </c>
      <c r="AC76" cm="1">
        <f t="array" ref="AC76">_xlfn.IFS('Form responses 1'!AC76 = "Yes", 1, 'Form responses 1'!AC76 = "No", 2, 0, TRUE)</f>
        <v>1</v>
      </c>
    </row>
    <row r="77" spans="1:29" x14ac:dyDescent="0.2">
      <c r="A77" cm="1">
        <f t="array" ref="A77">_xlfn.IFS('Form responses 1'!A77 = "18-24 years", 1, 'Form responses 1'!A77 = "25-34 years", 2, 'Form responses 1'!A77= "35-44 years", 3, 'Form responses 1'!A77= "45-54 years", 4, 'Form responses 1'!A77= "55-64 years", 5, 'Form responses 1'!A77= "65 &amp; above", 6, 0, TRUE)</f>
        <v>2</v>
      </c>
      <c r="B77" cm="1">
        <f t="array" ref="B77">_xlfn.IFS('Form responses 1'!B77 = "Female", 1, 'Form responses 1'!B77 = "Male", 2, 0, TRUE)</f>
        <v>1</v>
      </c>
      <c r="C77" t="s">
        <v>80</v>
      </c>
      <c r="D77" cm="1">
        <f t="array" ref="D77">_xlfn.IFS('Form responses 1'!D77 = "Once", 1, 'Form responses 1'!D77 = "Twice", 2, 'Form responses 1'!D77= "More than twice", 3, 'Form responses 1'!D77= "Occasionally", 4, 0, TRUE)</f>
        <v>2</v>
      </c>
      <c r="E77" cm="1">
        <f t="array" ref="E77">_xlfn.IFS('Form responses 1'!E77 = "Selected", 1, 'Form responses 1'!E77 = "Not Selected", 0, 0, TRUE)</f>
        <v>1</v>
      </c>
      <c r="F77" cm="1">
        <f t="array" ref="F77">_xlfn.IFS('Form responses 1'!F77 = "Selected", 1, 'Form responses 1'!F77 = "Not Selected", 0, 0, TRUE)</f>
        <v>1</v>
      </c>
      <c r="G77" cm="1">
        <f t="array" ref="G77">_xlfn.IFS('Form responses 1'!G77 = "Selected", 1, 'Form responses 1'!G77 = "Not Selected", 0, 0, TRUE)</f>
        <v>0</v>
      </c>
      <c r="H77" cm="1">
        <f t="array" ref="H77">_xlfn.IFS('Form responses 1'!H77 = "Selected", 1, 'Form responses 1'!H77 = "Not Selected", 0, 0, TRUE)</f>
        <v>0</v>
      </c>
      <c r="I77" cm="1">
        <f t="array" ref="I77">_xlfn.IFS('Form responses 1'!I77 = "Selected", 1, 'Form responses 1'!I77 = "Not Selected", 0, 0, TRUE)</f>
        <v>0</v>
      </c>
      <c r="J77" cm="1">
        <f t="array" ref="J77">_xlfn.IFS('Form responses 1'!J77 = "Selected", 1, 'Form responses 1'!J77 = "Not Selected", 0, 0, TRUE)</f>
        <v>1</v>
      </c>
      <c r="K77" cm="1">
        <f t="array" ref="K77">_xlfn.IFS('Form responses 1'!K77 = "Selected", 1, 'Form responses 1'!K77 = "Not Selected", 0, 0, TRUE)</f>
        <v>0</v>
      </c>
      <c r="L77" cm="1">
        <f t="array" ref="L77">_xlfn.IFS('Form responses 1'!L77 = "Selected", 1, 'Form responses 1'!L77 = "Not Selected", 0, 0, TRUE)</f>
        <v>1</v>
      </c>
      <c r="M77" cm="1">
        <f t="array" ref="M77">_xlfn.IFS('Form responses 1'!M77 = "Selected", 1, 'Form responses 1'!M77 = "Not Selected", 0, 0, TRUE)</f>
        <v>1</v>
      </c>
      <c r="N77" cm="1">
        <f t="array" ref="N77">_xlfn.IFS('Form responses 1'!N77 = "Selected", 1, 'Form responses 1'!N77 = "Not Selected", 0, 0, TRUE)</f>
        <v>1</v>
      </c>
      <c r="O77" cm="1">
        <f t="array" ref="O77">_xlfn.IFS('Form responses 1'!O77 = "Yes", 1, 'Form responses 1'!O77 = "No", 2, 0, TRUE)</f>
        <v>2</v>
      </c>
      <c r="P77" cm="1">
        <f t="array" ref="P77">_xlfn.IFS('Form responses 1'!P77 = "Yes", 1, 'Form responses 1'!P77 = "No", 2, 'Form responses 1'!P77 = "Not sure", 3, 0, TRUE)</f>
        <v>1</v>
      </c>
      <c r="Q77" cm="1">
        <f t="array" ref="Q77">_xlfn.IFS('Form responses 1'!Q77 = "Yes", 1, 'Form responses 1'!Q77 = "No", 2, 0, TRUE)</f>
        <v>2</v>
      </c>
      <c r="R77" cm="1">
        <f t="array" ref="R77">_xlfn.IFS('Form responses 1'!R77 = "Yes", 1, 'Form responses 1'!R77 = "No", 2, 0, TRUE)</f>
        <v>2</v>
      </c>
      <c r="S77" cm="1">
        <f t="array" ref="S77">_xlfn.IFS('Form responses 1'!S77 = "Severely embarrassed", 1, 'Form responses 1'!S77 = "Somewhat uncomfortable", 2, 'Form responses 1'!S77= "Not affected", 3, 'Form responses 1'!S77= "Indifferent", 4, 0, TRUE)</f>
        <v>3</v>
      </c>
      <c r="T77" cm="1">
        <f t="array" ref="T77">_xlfn.IFS('Form responses 1'!T77 = "Yes", 1, 'Form responses 1'!T77 = "No", 2, 'Form responses 1'!T77 = "Not sure", 3, 0, TRUE)</f>
        <v>2</v>
      </c>
      <c r="U77" cm="1">
        <f t="array" ref="U77">_xlfn.IFS('Form responses 1'!U77 = "Strongly agree", 1, 'Form responses 1'!U77 = "Agree", 2, 'Form responses 1'!U77 = "Neutral", 3, 'Form responses 1'!U77 = "Disagree", 4, 0, TRUE)</f>
        <v>1</v>
      </c>
      <c r="V77" cm="1">
        <f t="array" ref="V77">_xlfn.IFS('Form responses 1'!V77 = "Selected", 1, 'Form responses 1'!V77 = "Not Selected", 0, 0, TRUE)</f>
        <v>1</v>
      </c>
      <c r="W77" cm="1">
        <f t="array" ref="W77">_xlfn.IFS('Form responses 1'!W77 = "Selected", 1, 'Form responses 1'!W77 = "Not Selected", 0, 0, TRUE)</f>
        <v>0</v>
      </c>
      <c r="X77" cm="1">
        <f t="array" ref="X77">_xlfn.IFS('Form responses 1'!X77 = "Selected", 1, 'Form responses 1'!X77 = "Not Selected", 0, 0, TRUE)</f>
        <v>0</v>
      </c>
      <c r="Y77" cm="1">
        <f t="array" ref="Y77">_xlfn.IFS('Form responses 1'!Y77 = "Selected", 1, 'Form responses 1'!Y77 = "Not Selected", 0, 0, TRUE)</f>
        <v>0</v>
      </c>
      <c r="Z77" cm="1">
        <f t="array" ref="Z77">_xlfn.IFS('Form responses 1'!Z77 = "Selected", 1, 'Form responses 1'!Z77 = "Not Selected", 0, 0, TRUE)</f>
        <v>1</v>
      </c>
      <c r="AA77" cm="1">
        <f t="array" ref="AA77">_xlfn.IFS('Form responses 1'!AA77 = "Very effective", 1, 'Form responses 1'!AA77 = "Somewhat effective", 2, 'Form responses 1'!AA77 = "Not effective", 3, 'Form responses 1'!AA77 = "Made it worse", 4, 0, TRUE)</f>
        <v>1</v>
      </c>
      <c r="AB77" cm="1">
        <f t="array" ref="AB77">_xlfn.IFS('Form responses 1'!AB77 = "Yes", 1, 'Form responses 1'!AB77 = "No", 2, 'Form responses 1'!AB77 = "Not sure", 3, 0, TRUE)</f>
        <v>1</v>
      </c>
      <c r="AC77" cm="1">
        <f t="array" ref="AC77">_xlfn.IFS('Form responses 1'!AC77 = "Yes", 1, 'Form responses 1'!AC77 = "No", 2, 0, TRUE)</f>
        <v>2</v>
      </c>
    </row>
    <row r="78" spans="1:29" x14ac:dyDescent="0.2">
      <c r="A78" cm="1">
        <f t="array" ref="A78">_xlfn.IFS('Form responses 1'!A78 = "18-24 years", 1, 'Form responses 1'!A78 = "25-34 years", 2, 'Form responses 1'!A78= "35-44 years", 3, 'Form responses 1'!A78= "45-54 years", 4, 'Form responses 1'!A78= "55-64 years", 5, 'Form responses 1'!A78= "65 &amp; above", 6, 0, TRUE)</f>
        <v>3</v>
      </c>
      <c r="B78" cm="1">
        <f t="array" ref="B78">_xlfn.IFS('Form responses 1'!B78 = "Female", 1, 'Form responses 1'!B78 = "Male", 2, 0, TRUE)</f>
        <v>1</v>
      </c>
      <c r="C78" t="s">
        <v>81</v>
      </c>
      <c r="D78" cm="1">
        <f t="array" ref="D78">_xlfn.IFS('Form responses 1'!D78 = "Once", 1, 'Form responses 1'!D78 = "Twice", 2, 'Form responses 1'!D78= "More than twice", 3, 'Form responses 1'!D78= "Occasionally", 4, 0, TRUE)</f>
        <v>2</v>
      </c>
      <c r="E78" cm="1">
        <f t="array" ref="E78">_xlfn.IFS('Form responses 1'!E78 = "Selected", 1, 'Form responses 1'!E78 = "Not Selected", 0, 0, TRUE)</f>
        <v>0</v>
      </c>
      <c r="F78" cm="1">
        <f t="array" ref="F78">_xlfn.IFS('Form responses 1'!F78 = "Selected", 1, 'Form responses 1'!F78 = "Not Selected", 0, 0, TRUE)</f>
        <v>1</v>
      </c>
      <c r="G78" cm="1">
        <f t="array" ref="G78">_xlfn.IFS('Form responses 1'!G78 = "Selected", 1, 'Form responses 1'!G78 = "Not Selected", 0, 0, TRUE)</f>
        <v>0</v>
      </c>
      <c r="H78" cm="1">
        <f t="array" ref="H78">_xlfn.IFS('Form responses 1'!H78 = "Selected", 1, 'Form responses 1'!H78 = "Not Selected", 0, 0, TRUE)</f>
        <v>0</v>
      </c>
      <c r="I78" cm="1">
        <f t="array" ref="I78">_xlfn.IFS('Form responses 1'!I78 = "Selected", 1, 'Form responses 1'!I78 = "Not Selected", 0, 0, TRUE)</f>
        <v>0</v>
      </c>
      <c r="J78" cm="1">
        <f t="array" ref="J78">_xlfn.IFS('Form responses 1'!J78 = "Selected", 1, 'Form responses 1'!J78 = "Not Selected", 0, 0, TRUE)</f>
        <v>1</v>
      </c>
      <c r="K78" cm="1">
        <f t="array" ref="K78">_xlfn.IFS('Form responses 1'!K78 = "Selected", 1, 'Form responses 1'!K78 = "Not Selected", 0, 0, TRUE)</f>
        <v>1</v>
      </c>
      <c r="L78" cm="1">
        <f t="array" ref="L78">_xlfn.IFS('Form responses 1'!L78 = "Selected", 1, 'Form responses 1'!L78 = "Not Selected", 0, 0, TRUE)</f>
        <v>1</v>
      </c>
      <c r="M78" cm="1">
        <f t="array" ref="M78">_xlfn.IFS('Form responses 1'!M78 = "Selected", 1, 'Form responses 1'!M78 = "Not Selected", 0, 0, TRUE)</f>
        <v>1</v>
      </c>
      <c r="N78" cm="1">
        <f t="array" ref="N78">_xlfn.IFS('Form responses 1'!N78 = "Selected", 1, 'Form responses 1'!N78 = "Not Selected", 0, 0, TRUE)</f>
        <v>1</v>
      </c>
      <c r="O78" cm="1">
        <f t="array" ref="O78">_xlfn.IFS('Form responses 1'!O78 = "Yes", 1, 'Form responses 1'!O78 = "No", 2, 0, TRUE)</f>
        <v>2</v>
      </c>
      <c r="P78" cm="1">
        <f t="array" ref="P78">_xlfn.IFS('Form responses 1'!P78 = "Yes", 1, 'Form responses 1'!P78 = "No", 2, 'Form responses 1'!P78 = "Not sure", 3, 0, TRUE)</f>
        <v>3</v>
      </c>
      <c r="Q78" cm="1">
        <f t="array" ref="Q78">_xlfn.IFS('Form responses 1'!Q78 = "Yes", 1, 'Form responses 1'!Q78 = "No", 2, 0, TRUE)</f>
        <v>1</v>
      </c>
      <c r="R78" cm="1">
        <f t="array" ref="R78">_xlfn.IFS('Form responses 1'!R78 = "Yes", 1, 'Form responses 1'!R78 = "No", 2, 0, TRUE)</f>
        <v>2</v>
      </c>
      <c r="S78" cm="1">
        <f t="array" ref="S78">_xlfn.IFS('Form responses 1'!S78 = "Severely embarrassed", 1, 'Form responses 1'!S78 = "Somewhat uncomfortable", 2, 'Form responses 1'!S78= "Not affected", 3, 'Form responses 1'!S78= "Indifferent", 4, 0, TRUE)</f>
        <v>3</v>
      </c>
      <c r="T78" cm="1">
        <f t="array" ref="T78">_xlfn.IFS('Form responses 1'!T78 = "Yes", 1, 'Form responses 1'!T78 = "No", 2, 'Form responses 1'!T78 = "Not sure", 3, 0, TRUE)</f>
        <v>2</v>
      </c>
      <c r="U78" cm="1">
        <f t="array" ref="U78">_xlfn.IFS('Form responses 1'!U78 = "Strongly agree", 1, 'Form responses 1'!U78 = "Agree", 2, 'Form responses 1'!U78 = "Neutral", 3, 'Form responses 1'!U78 = "Disagree", 4, 0, TRUE)</f>
        <v>1</v>
      </c>
      <c r="V78" cm="1">
        <f t="array" ref="V78">_xlfn.IFS('Form responses 1'!V78 = "Selected", 1, 'Form responses 1'!V78 = "Not Selected", 0, 0, TRUE)</f>
        <v>1</v>
      </c>
      <c r="W78" cm="1">
        <f t="array" ref="W78">_xlfn.IFS('Form responses 1'!W78 = "Selected", 1, 'Form responses 1'!W78 = "Not Selected", 0, 0, TRUE)</f>
        <v>0</v>
      </c>
      <c r="X78" cm="1">
        <f t="array" ref="X78">_xlfn.IFS('Form responses 1'!X78 = "Selected", 1, 'Form responses 1'!X78 = "Not Selected", 0, 0, TRUE)</f>
        <v>0</v>
      </c>
      <c r="Y78" cm="1">
        <f t="array" ref="Y78">_xlfn.IFS('Form responses 1'!Y78 = "Selected", 1, 'Form responses 1'!Y78 = "Not Selected", 0, 0, TRUE)</f>
        <v>0</v>
      </c>
      <c r="Z78" cm="1">
        <f t="array" ref="Z78">_xlfn.IFS('Form responses 1'!Z78 = "Selected", 1, 'Form responses 1'!Z78 = "Not Selected", 0, 0, TRUE)</f>
        <v>1</v>
      </c>
      <c r="AA78" cm="1">
        <f t="array" ref="AA78">_xlfn.IFS('Form responses 1'!AA78 = "Very effective", 1, 'Form responses 1'!AA78 = "Somewhat effective", 2, 'Form responses 1'!AA78 = "Not effective", 3, 'Form responses 1'!AA78 = "Made it worse", 4, 0, TRUE)</f>
        <v>1</v>
      </c>
      <c r="AB78" cm="1">
        <f t="array" ref="AB78">_xlfn.IFS('Form responses 1'!AB78 = "Yes", 1, 'Form responses 1'!AB78 = "No", 2, 'Form responses 1'!AB78 = "Not sure", 3, 0, TRUE)</f>
        <v>3</v>
      </c>
      <c r="AC78" cm="1">
        <f t="array" ref="AC78">_xlfn.IFS('Form responses 1'!AC78 = "Yes", 1, 'Form responses 1'!AC78 = "No", 2, 0, TRUE)</f>
        <v>1</v>
      </c>
    </row>
    <row r="79" spans="1:29" x14ac:dyDescent="0.2">
      <c r="A79" cm="1">
        <f t="array" ref="A79">_xlfn.IFS('Form responses 1'!A79 = "18-24 years", 1, 'Form responses 1'!A79 = "25-34 years", 2, 'Form responses 1'!A79= "35-44 years", 3, 'Form responses 1'!A79= "45-54 years", 4, 'Form responses 1'!A79= "55-64 years", 5, 'Form responses 1'!A79= "65 &amp; above", 6, 0, TRUE)</f>
        <v>1</v>
      </c>
      <c r="B79" cm="1">
        <f t="array" ref="B79">_xlfn.IFS('Form responses 1'!B79 = "Female", 1, 'Form responses 1'!B79 = "Male", 2, 0, TRUE)</f>
        <v>1</v>
      </c>
      <c r="C79" t="s">
        <v>35</v>
      </c>
      <c r="D79" cm="1">
        <f t="array" ref="D79">_xlfn.IFS('Form responses 1'!D79 = "Once", 1, 'Form responses 1'!D79 = "Twice", 2, 'Form responses 1'!D79= "More than twice", 3, 'Form responses 1'!D79= "Occasionally", 4, 0, TRUE)</f>
        <v>1</v>
      </c>
      <c r="E79" cm="1">
        <f t="array" ref="E79">_xlfn.IFS('Form responses 1'!E79 = "Selected", 1, 'Form responses 1'!E79 = "Not Selected", 0, 0, TRUE)</f>
        <v>1</v>
      </c>
      <c r="F79" cm="1">
        <f t="array" ref="F79">_xlfn.IFS('Form responses 1'!F79 = "Selected", 1, 'Form responses 1'!F79 = "Not Selected", 0, 0, TRUE)</f>
        <v>1</v>
      </c>
      <c r="G79" cm="1">
        <f t="array" ref="G79">_xlfn.IFS('Form responses 1'!G79 = "Selected", 1, 'Form responses 1'!G79 = "Not Selected", 0, 0, TRUE)</f>
        <v>0</v>
      </c>
      <c r="H79" cm="1">
        <f t="array" ref="H79">_xlfn.IFS('Form responses 1'!H79 = "Selected", 1, 'Form responses 1'!H79 = "Not Selected", 0, 0, TRUE)</f>
        <v>0</v>
      </c>
      <c r="I79" cm="1">
        <f t="array" ref="I79">_xlfn.IFS('Form responses 1'!I79 = "Selected", 1, 'Form responses 1'!I79 = "Not Selected", 0, 0, TRUE)</f>
        <v>0</v>
      </c>
      <c r="J79" cm="1">
        <f t="array" ref="J79">_xlfn.IFS('Form responses 1'!J79 = "Selected", 1, 'Form responses 1'!J79 = "Not Selected", 0, 0, TRUE)</f>
        <v>0</v>
      </c>
      <c r="K79" cm="1">
        <f t="array" ref="K79">_xlfn.IFS('Form responses 1'!K79 = "Selected", 1, 'Form responses 1'!K79 = "Not Selected", 0, 0, TRUE)</f>
        <v>1</v>
      </c>
      <c r="L79" cm="1">
        <f t="array" ref="L79">_xlfn.IFS('Form responses 1'!L79 = "Selected", 1, 'Form responses 1'!L79 = "Not Selected", 0, 0, TRUE)</f>
        <v>0</v>
      </c>
      <c r="M79" cm="1">
        <f t="array" ref="M79">_xlfn.IFS('Form responses 1'!M79 = "Selected", 1, 'Form responses 1'!M79 = "Not Selected", 0, 0, TRUE)</f>
        <v>1</v>
      </c>
      <c r="N79" cm="1">
        <f t="array" ref="N79">_xlfn.IFS('Form responses 1'!N79 = "Selected", 1, 'Form responses 1'!N79 = "Not Selected", 0, 0, TRUE)</f>
        <v>0</v>
      </c>
      <c r="O79" cm="1">
        <f t="array" ref="O79">_xlfn.IFS('Form responses 1'!O79 = "Yes", 1, 'Form responses 1'!O79 = "No", 2, 0, TRUE)</f>
        <v>2</v>
      </c>
      <c r="P79" cm="1">
        <f t="array" ref="P79">_xlfn.IFS('Form responses 1'!P79 = "Yes", 1, 'Form responses 1'!P79 = "No", 2, 'Form responses 1'!P79 = "Not sure", 3, 0, TRUE)</f>
        <v>2</v>
      </c>
      <c r="Q79" cm="1">
        <f t="array" ref="Q79">_xlfn.IFS('Form responses 1'!Q79 = "Yes", 1, 'Form responses 1'!Q79 = "No", 2, 0, TRUE)</f>
        <v>1</v>
      </c>
      <c r="R79" cm="1">
        <f t="array" ref="R79">_xlfn.IFS('Form responses 1'!R79 = "Yes", 1, 'Form responses 1'!R79 = "No", 2, 0, TRUE)</f>
        <v>1</v>
      </c>
      <c r="S79" cm="1">
        <f t="array" ref="S79">_xlfn.IFS('Form responses 1'!S79 = "Severely embarrassed", 1, 'Form responses 1'!S79 = "Somewhat uncomfortable", 2, 'Form responses 1'!S79= "Not affected", 3, 'Form responses 1'!S79= "Indifferent", 4, 0, TRUE)</f>
        <v>1</v>
      </c>
      <c r="T79" cm="1">
        <f t="array" ref="T79">_xlfn.IFS('Form responses 1'!T79 = "Yes", 1, 'Form responses 1'!T79 = "No", 2, 'Form responses 1'!T79 = "Not sure", 3, 0, TRUE)</f>
        <v>2</v>
      </c>
      <c r="U79" cm="1">
        <f t="array" ref="U79">_xlfn.IFS('Form responses 1'!U79 = "Strongly agree", 1, 'Form responses 1'!U79 = "Agree", 2, 'Form responses 1'!U79 = "Neutral", 3, 'Form responses 1'!U79 = "Disagree", 4, 0, TRUE)</f>
        <v>2</v>
      </c>
      <c r="V79" cm="1">
        <f t="array" ref="V79">_xlfn.IFS('Form responses 1'!V79 = "Selected", 1, 'Form responses 1'!V79 = "Not Selected", 0, 0, TRUE)</f>
        <v>1</v>
      </c>
      <c r="W79" cm="1">
        <f t="array" ref="W79">_xlfn.IFS('Form responses 1'!W79 = "Selected", 1, 'Form responses 1'!W79 = "Not Selected", 0, 0, TRUE)</f>
        <v>0</v>
      </c>
      <c r="X79" cm="1">
        <f t="array" ref="X79">_xlfn.IFS('Form responses 1'!X79 = "Selected", 1, 'Form responses 1'!X79 = "Not Selected", 0, 0, TRUE)</f>
        <v>0</v>
      </c>
      <c r="Y79" cm="1">
        <f t="array" ref="Y79">_xlfn.IFS('Form responses 1'!Y79 = "Selected", 1, 'Form responses 1'!Y79 = "Not Selected", 0, 0, TRUE)</f>
        <v>0</v>
      </c>
      <c r="Z79" cm="1">
        <f t="array" ref="Z79">_xlfn.IFS('Form responses 1'!Z79 = "Selected", 1, 'Form responses 1'!Z79 = "Not Selected", 0, 0, TRUE)</f>
        <v>1</v>
      </c>
      <c r="AA79" cm="1">
        <f t="array" ref="AA79">_xlfn.IFS('Form responses 1'!AA79 = "Very effective", 1, 'Form responses 1'!AA79 = "Somewhat effective", 2, 'Form responses 1'!AA79 = "Not effective", 3, 'Form responses 1'!AA79 = "Made it worse", 4, 0, TRUE)</f>
        <v>1</v>
      </c>
      <c r="AB79" cm="1">
        <f t="array" ref="AB79">_xlfn.IFS('Form responses 1'!AB79 = "Yes", 1, 'Form responses 1'!AB79 = "No", 2, 'Form responses 1'!AB79 = "Not sure", 3, 0, TRUE)</f>
        <v>3</v>
      </c>
      <c r="AC79" cm="1">
        <f t="array" ref="AC79">_xlfn.IFS('Form responses 1'!AC79 = "Yes", 1, 'Form responses 1'!AC79 = "No", 2, 0, TRUE)</f>
        <v>1</v>
      </c>
    </row>
    <row r="80" spans="1:29" x14ac:dyDescent="0.2">
      <c r="A80" cm="1">
        <f t="array" ref="A80">_xlfn.IFS('Form responses 1'!A80 = "18-24 years", 1, 'Form responses 1'!A80 = "25-34 years", 2, 'Form responses 1'!A80= "35-44 years", 3, 'Form responses 1'!A80= "45-54 years", 4, 'Form responses 1'!A80= "55-64 years", 5, 'Form responses 1'!A80= "65 &amp; above", 6, 0, TRUE)</f>
        <v>1</v>
      </c>
      <c r="B80" cm="1">
        <f t="array" ref="B80">_xlfn.IFS('Form responses 1'!B80 = "Female", 1, 'Form responses 1'!B80 = "Male", 2, 0, TRUE)</f>
        <v>1</v>
      </c>
      <c r="C80" t="s">
        <v>82</v>
      </c>
      <c r="D80" cm="1">
        <f t="array" ref="D80">_xlfn.IFS('Form responses 1'!D80 = "Once", 1, 'Form responses 1'!D80 = "Twice", 2, 'Form responses 1'!D80= "More than twice", 3, 'Form responses 1'!D80= "Occasionally", 4, 0, TRUE)</f>
        <v>3</v>
      </c>
      <c r="E80" cm="1">
        <f t="array" ref="E80">_xlfn.IFS('Form responses 1'!E80 = "Selected", 1, 'Form responses 1'!E80 = "Not Selected", 0, 0, TRUE)</f>
        <v>1</v>
      </c>
      <c r="F80" cm="1">
        <f t="array" ref="F80">_xlfn.IFS('Form responses 1'!F80 = "Selected", 1, 'Form responses 1'!F80 = "Not Selected", 0, 0, TRUE)</f>
        <v>0</v>
      </c>
      <c r="G80" cm="1">
        <f t="array" ref="G80">_xlfn.IFS('Form responses 1'!G80 = "Selected", 1, 'Form responses 1'!G80 = "Not Selected", 0, 0, TRUE)</f>
        <v>0</v>
      </c>
      <c r="H80" cm="1">
        <f t="array" ref="H80">_xlfn.IFS('Form responses 1'!H80 = "Selected", 1, 'Form responses 1'!H80 = "Not Selected", 0, 0, TRUE)</f>
        <v>0</v>
      </c>
      <c r="I80" cm="1">
        <f t="array" ref="I80">_xlfn.IFS('Form responses 1'!I80 = "Selected", 1, 'Form responses 1'!I80 = "Not Selected", 0, 0, TRUE)</f>
        <v>0</v>
      </c>
      <c r="J80" cm="1">
        <f t="array" ref="J80">_xlfn.IFS('Form responses 1'!J80 = "Selected", 1, 'Form responses 1'!J80 = "Not Selected", 0, 0, TRUE)</f>
        <v>1</v>
      </c>
      <c r="K80" cm="1">
        <f t="array" ref="K80">_xlfn.IFS('Form responses 1'!K80 = "Selected", 1, 'Form responses 1'!K80 = "Not Selected", 0, 0, TRUE)</f>
        <v>0</v>
      </c>
      <c r="L80" cm="1">
        <f t="array" ref="L80">_xlfn.IFS('Form responses 1'!L80 = "Selected", 1, 'Form responses 1'!L80 = "Not Selected", 0, 0, TRUE)</f>
        <v>1</v>
      </c>
      <c r="M80" cm="1">
        <f t="array" ref="M80">_xlfn.IFS('Form responses 1'!M80 = "Selected", 1, 'Form responses 1'!M80 = "Not Selected", 0, 0, TRUE)</f>
        <v>0</v>
      </c>
      <c r="N80" cm="1">
        <f t="array" ref="N80">_xlfn.IFS('Form responses 1'!N80 = "Selected", 1, 'Form responses 1'!N80 = "Not Selected", 0, 0, TRUE)</f>
        <v>1</v>
      </c>
      <c r="O80" cm="1">
        <f t="array" ref="O80">_xlfn.IFS('Form responses 1'!O80 = "Yes", 1, 'Form responses 1'!O80 = "No", 2, 0, TRUE)</f>
        <v>2</v>
      </c>
      <c r="P80" cm="1">
        <f t="array" ref="P80">_xlfn.IFS('Form responses 1'!P80 = "Yes", 1, 'Form responses 1'!P80 = "No", 2, 'Form responses 1'!P80 = "Not sure", 3, 0, TRUE)</f>
        <v>3</v>
      </c>
      <c r="Q80" cm="1">
        <f t="array" ref="Q80">_xlfn.IFS('Form responses 1'!Q80 = "Yes", 1, 'Form responses 1'!Q80 = "No", 2, 0, TRUE)</f>
        <v>2</v>
      </c>
      <c r="R80" cm="1">
        <f t="array" ref="R80">_xlfn.IFS('Form responses 1'!R80 = "Yes", 1, 'Form responses 1'!R80 = "No", 2, 0, TRUE)</f>
        <v>2</v>
      </c>
      <c r="S80" cm="1">
        <f t="array" ref="S80">_xlfn.IFS('Form responses 1'!S80 = "Severely embarrassed", 1, 'Form responses 1'!S80 = "Somewhat uncomfortable", 2, 'Form responses 1'!S80= "Not affected", 3, 'Form responses 1'!S80= "Indifferent", 4, 0, TRUE)</f>
        <v>3</v>
      </c>
      <c r="T80" cm="1">
        <f t="array" ref="T80">_xlfn.IFS('Form responses 1'!T80 = "Yes", 1, 'Form responses 1'!T80 = "No", 2, 'Form responses 1'!T80 = "Not sure", 3, 0, TRUE)</f>
        <v>2</v>
      </c>
      <c r="U80" cm="1">
        <f t="array" ref="U80">_xlfn.IFS('Form responses 1'!U80 = "Strongly agree", 1, 'Form responses 1'!U80 = "Agree", 2, 'Form responses 1'!U80 = "Neutral", 3, 'Form responses 1'!U80 = "Disagree", 4, 0, TRUE)</f>
        <v>4</v>
      </c>
      <c r="V80" cm="1">
        <f t="array" ref="V80">_xlfn.IFS('Form responses 1'!V80 = "Selected", 1, 'Form responses 1'!V80 = "Not Selected", 0, 0, TRUE)</f>
        <v>1</v>
      </c>
      <c r="W80" cm="1">
        <f t="array" ref="W80">_xlfn.IFS('Form responses 1'!W80 = "Selected", 1, 'Form responses 1'!W80 = "Not Selected", 0, 0, TRUE)</f>
        <v>1</v>
      </c>
      <c r="X80" cm="1">
        <f t="array" ref="X80">_xlfn.IFS('Form responses 1'!X80 = "Selected", 1, 'Form responses 1'!X80 = "Not Selected", 0, 0, TRUE)</f>
        <v>1</v>
      </c>
      <c r="Y80" cm="1">
        <f t="array" ref="Y80">_xlfn.IFS('Form responses 1'!Y80 = "Selected", 1, 'Form responses 1'!Y80 = "Not Selected", 0, 0, TRUE)</f>
        <v>1</v>
      </c>
      <c r="Z80" cm="1">
        <f t="array" ref="Z80">_xlfn.IFS('Form responses 1'!Z80 = "Selected", 1, 'Form responses 1'!Z80 = "Not Selected", 0, 0, TRUE)</f>
        <v>1</v>
      </c>
      <c r="AA80" cm="1">
        <f t="array" ref="AA80">_xlfn.IFS('Form responses 1'!AA80 = "Very effective", 1, 'Form responses 1'!AA80 = "Somewhat effective", 2, 'Form responses 1'!AA80 = "Not effective", 3, 'Form responses 1'!AA80 = "Made it worse", 4, 0, TRUE)</f>
        <v>1</v>
      </c>
      <c r="AB80" cm="1">
        <f t="array" ref="AB80">_xlfn.IFS('Form responses 1'!AB80 = "Yes", 1, 'Form responses 1'!AB80 = "No", 2, 'Form responses 1'!AB80 = "Not sure", 3, 0, TRUE)</f>
        <v>1</v>
      </c>
      <c r="AC80" cm="1">
        <f t="array" ref="AC80">_xlfn.IFS('Form responses 1'!AC80 = "Yes", 1, 'Form responses 1'!AC80 = "No", 2, 0, TRUE)</f>
        <v>1</v>
      </c>
    </row>
    <row r="81" spans="1:29" x14ac:dyDescent="0.2">
      <c r="A81" cm="1">
        <f t="array" ref="A81">_xlfn.IFS('Form responses 1'!A81 = "18-24 years", 1, 'Form responses 1'!A81 = "25-34 years", 2, 'Form responses 1'!A81= "35-44 years", 3, 'Form responses 1'!A81= "45-54 years", 4, 'Form responses 1'!A81= "55-64 years", 5, 'Form responses 1'!A81= "65 &amp; above", 6, 0, TRUE)</f>
        <v>2</v>
      </c>
      <c r="B81" cm="1">
        <f t="array" ref="B81">_xlfn.IFS('Form responses 1'!B81 = "Female", 1, 'Form responses 1'!B81 = "Male", 2, 0, TRUE)</f>
        <v>2</v>
      </c>
      <c r="C81" t="s">
        <v>83</v>
      </c>
      <c r="D81" cm="1">
        <f t="array" ref="D81">_xlfn.IFS('Form responses 1'!D81 = "Once", 1, 'Form responses 1'!D81 = "Twice", 2, 'Form responses 1'!D81= "More than twice", 3, 'Form responses 1'!D81= "Occasionally", 4, 0, TRUE)</f>
        <v>2</v>
      </c>
      <c r="E81" cm="1">
        <f t="array" ref="E81">_xlfn.IFS('Form responses 1'!E81 = "Selected", 1, 'Form responses 1'!E81 = "Not Selected", 0, 0, TRUE)</f>
        <v>0</v>
      </c>
      <c r="F81" cm="1">
        <f t="array" ref="F81">_xlfn.IFS('Form responses 1'!F81 = "Selected", 1, 'Form responses 1'!F81 = "Not Selected", 0, 0, TRUE)</f>
        <v>1</v>
      </c>
      <c r="G81" cm="1">
        <f t="array" ref="G81">_xlfn.IFS('Form responses 1'!G81 = "Selected", 1, 'Form responses 1'!G81 = "Not Selected", 0, 0, TRUE)</f>
        <v>0</v>
      </c>
      <c r="H81" cm="1">
        <f t="array" ref="H81">_xlfn.IFS('Form responses 1'!H81 = "Selected", 1, 'Form responses 1'!H81 = "Not Selected", 0, 0, TRUE)</f>
        <v>0</v>
      </c>
      <c r="I81" cm="1">
        <f t="array" ref="I81">_xlfn.IFS('Form responses 1'!I81 = "Selected", 1, 'Form responses 1'!I81 = "Not Selected", 0, 0, TRUE)</f>
        <v>0</v>
      </c>
      <c r="J81" cm="1">
        <f t="array" ref="J81">_xlfn.IFS('Form responses 1'!J81 = "Selected", 1, 'Form responses 1'!J81 = "Not Selected", 0, 0, TRUE)</f>
        <v>0</v>
      </c>
      <c r="K81" cm="1">
        <f t="array" ref="K81">_xlfn.IFS('Form responses 1'!K81 = "Selected", 1, 'Form responses 1'!K81 = "Not Selected", 0, 0, TRUE)</f>
        <v>0</v>
      </c>
      <c r="L81" cm="1">
        <f t="array" ref="L81">_xlfn.IFS('Form responses 1'!L81 = "Selected", 1, 'Form responses 1'!L81 = "Not Selected", 0, 0, TRUE)</f>
        <v>0</v>
      </c>
      <c r="M81" cm="1">
        <f t="array" ref="M81">_xlfn.IFS('Form responses 1'!M81 = "Selected", 1, 'Form responses 1'!M81 = "Not Selected", 0, 0, TRUE)</f>
        <v>0</v>
      </c>
      <c r="N81" cm="1">
        <f t="array" ref="N81">_xlfn.IFS('Form responses 1'!N81 = "Selected", 1, 'Form responses 1'!N81 = "Not Selected", 0, 0, TRUE)</f>
        <v>1</v>
      </c>
      <c r="O81" cm="1">
        <f t="array" ref="O81">_xlfn.IFS('Form responses 1'!O81 = "Yes", 1, 'Form responses 1'!O81 = "No", 2, 0, TRUE)</f>
        <v>2</v>
      </c>
      <c r="P81" cm="1">
        <f t="array" ref="P81">_xlfn.IFS('Form responses 1'!P81 = "Yes", 1, 'Form responses 1'!P81 = "No", 2, 'Form responses 1'!P81 = "Not sure", 3, 0, TRUE)</f>
        <v>3</v>
      </c>
      <c r="Q81" cm="1">
        <f t="array" ref="Q81">_xlfn.IFS('Form responses 1'!Q81 = "Yes", 1, 'Form responses 1'!Q81 = "No", 2, 0, TRUE)</f>
        <v>2</v>
      </c>
      <c r="R81" cm="1">
        <f t="array" ref="R81">_xlfn.IFS('Form responses 1'!R81 = "Yes", 1, 'Form responses 1'!R81 = "No", 2, 0, TRUE)</f>
        <v>2</v>
      </c>
      <c r="S81" cm="1">
        <f t="array" ref="S81">_xlfn.IFS('Form responses 1'!S81 = "Severely embarrassed", 1, 'Form responses 1'!S81 = "Somewhat uncomfortable", 2, 'Form responses 1'!S81= "Not affected", 3, 'Form responses 1'!S81= "Indifferent", 4, 0, TRUE)</f>
        <v>3</v>
      </c>
      <c r="T81" cm="1">
        <f t="array" ref="T81">_xlfn.IFS('Form responses 1'!T81 = "Yes", 1, 'Form responses 1'!T81 = "No", 2, 'Form responses 1'!T81 = "Not sure", 3, 0, TRUE)</f>
        <v>2</v>
      </c>
      <c r="U81" cm="1">
        <f t="array" ref="U81">_xlfn.IFS('Form responses 1'!U81 = "Strongly agree", 1, 'Form responses 1'!U81 = "Agree", 2, 'Form responses 1'!U81 = "Neutral", 3, 'Form responses 1'!U81 = "Disagree", 4, 0, TRUE)</f>
        <v>1</v>
      </c>
      <c r="V81" cm="1">
        <f t="array" ref="V81">_xlfn.IFS('Form responses 1'!V81 = "Selected", 1, 'Form responses 1'!V81 = "Not Selected", 0, 0, TRUE)</f>
        <v>0</v>
      </c>
      <c r="W81" cm="1">
        <f t="array" ref="W81">_xlfn.IFS('Form responses 1'!W81 = "Selected", 1, 'Form responses 1'!W81 = "Not Selected", 0, 0, TRUE)</f>
        <v>0</v>
      </c>
      <c r="X81" cm="1">
        <f t="array" ref="X81">_xlfn.IFS('Form responses 1'!X81 = "Selected", 1, 'Form responses 1'!X81 = "Not Selected", 0, 0, TRUE)</f>
        <v>0</v>
      </c>
      <c r="Y81" cm="1">
        <f t="array" ref="Y81">_xlfn.IFS('Form responses 1'!Y81 = "Selected", 1, 'Form responses 1'!Y81 = "Not Selected", 0, 0, TRUE)</f>
        <v>0</v>
      </c>
      <c r="Z81" cm="1">
        <f t="array" ref="Z81">_xlfn.IFS('Form responses 1'!Z81 = "Selected", 1, 'Form responses 1'!Z81 = "Not Selected", 0, 0, TRUE)</f>
        <v>1</v>
      </c>
      <c r="AA81" cm="1">
        <f t="array" ref="AA81">_xlfn.IFS('Form responses 1'!AA81 = "Very effective", 1, 'Form responses 1'!AA81 = "Somewhat effective", 2, 'Form responses 1'!AA81 = "Not effective", 3, 'Form responses 1'!AA81 = "Made it worse", 4, 0, TRUE)</f>
        <v>1</v>
      </c>
      <c r="AB81" cm="1">
        <f t="array" ref="AB81">_xlfn.IFS('Form responses 1'!AB81 = "Yes", 1, 'Form responses 1'!AB81 = "No", 2, 'Form responses 1'!AB81 = "Not sure", 3, 0, TRUE)</f>
        <v>1</v>
      </c>
      <c r="AC81" cm="1">
        <f t="array" ref="AC81">_xlfn.IFS('Form responses 1'!AC81 = "Yes", 1, 'Form responses 1'!AC81 = "No", 2, 0, TRUE)</f>
        <v>1</v>
      </c>
    </row>
    <row r="82" spans="1:29" x14ac:dyDescent="0.2">
      <c r="A82" cm="1">
        <f t="array" ref="A82">_xlfn.IFS('Form responses 1'!A82 = "18-24 years", 1, 'Form responses 1'!A82 = "25-34 years", 2, 'Form responses 1'!A82= "35-44 years", 3, 'Form responses 1'!A82= "45-54 years", 4, 'Form responses 1'!A82= "55-64 years", 5, 'Form responses 1'!A82= "65 &amp; above", 6, 0, TRUE)</f>
        <v>2</v>
      </c>
      <c r="B82" cm="1">
        <f t="array" ref="B82">_xlfn.IFS('Form responses 1'!B82 = "Female", 1, 'Form responses 1'!B82 = "Male", 2, 0, TRUE)</f>
        <v>2</v>
      </c>
      <c r="C82" t="s">
        <v>68</v>
      </c>
      <c r="D82" cm="1">
        <f t="array" ref="D82">_xlfn.IFS('Form responses 1'!D82 = "Once", 1, 'Form responses 1'!D82 = "Twice", 2, 'Form responses 1'!D82= "More than twice", 3, 'Form responses 1'!D82= "Occasionally", 4, 0, TRUE)</f>
        <v>2</v>
      </c>
      <c r="E82" cm="1">
        <f t="array" ref="E82">_xlfn.IFS('Form responses 1'!E82 = "Selected", 1, 'Form responses 1'!E82 = "Not Selected", 0, 0, TRUE)</f>
        <v>1</v>
      </c>
      <c r="F82" cm="1">
        <f t="array" ref="F82">_xlfn.IFS('Form responses 1'!F82 = "Selected", 1, 'Form responses 1'!F82 = "Not Selected", 0, 0, TRUE)</f>
        <v>0</v>
      </c>
      <c r="G82" cm="1">
        <f t="array" ref="G82">_xlfn.IFS('Form responses 1'!G82 = "Selected", 1, 'Form responses 1'!G82 = "Not Selected", 0, 0, TRUE)</f>
        <v>0</v>
      </c>
      <c r="H82" cm="1">
        <f t="array" ref="H82">_xlfn.IFS('Form responses 1'!H82 = "Selected", 1, 'Form responses 1'!H82 = "Not Selected", 0, 0, TRUE)</f>
        <v>0</v>
      </c>
      <c r="I82" cm="1">
        <f t="array" ref="I82">_xlfn.IFS('Form responses 1'!I82 = "Selected", 1, 'Form responses 1'!I82 = "Not Selected", 0, 0, TRUE)</f>
        <v>0</v>
      </c>
      <c r="J82" cm="1">
        <f t="array" ref="J82">_xlfn.IFS('Form responses 1'!J82 = "Selected", 1, 'Form responses 1'!J82 = "Not Selected", 0, 0, TRUE)</f>
        <v>1</v>
      </c>
      <c r="K82" cm="1">
        <f t="array" ref="K82">_xlfn.IFS('Form responses 1'!K82 = "Selected", 1, 'Form responses 1'!K82 = "Not Selected", 0, 0, TRUE)</f>
        <v>0</v>
      </c>
      <c r="L82" cm="1">
        <f t="array" ref="L82">_xlfn.IFS('Form responses 1'!L82 = "Selected", 1, 'Form responses 1'!L82 = "Not Selected", 0, 0, TRUE)</f>
        <v>0</v>
      </c>
      <c r="M82" cm="1">
        <f t="array" ref="M82">_xlfn.IFS('Form responses 1'!M82 = "Selected", 1, 'Form responses 1'!M82 = "Not Selected", 0, 0, TRUE)</f>
        <v>0</v>
      </c>
      <c r="N82" cm="1">
        <f t="array" ref="N82">_xlfn.IFS('Form responses 1'!N82 = "Selected", 1, 'Form responses 1'!N82 = "Not Selected", 0, 0, TRUE)</f>
        <v>0</v>
      </c>
      <c r="O82" cm="1">
        <f t="array" ref="O82">_xlfn.IFS('Form responses 1'!O82 = "Yes", 1, 'Form responses 1'!O82 = "No", 2, 0, TRUE)</f>
        <v>2</v>
      </c>
      <c r="P82" cm="1">
        <f t="array" ref="P82">_xlfn.IFS('Form responses 1'!P82 = "Yes", 1, 'Form responses 1'!P82 = "No", 2, 'Form responses 1'!P82 = "Not sure", 3, 0, TRUE)</f>
        <v>2</v>
      </c>
      <c r="Q82" cm="1">
        <f t="array" ref="Q82">_xlfn.IFS('Form responses 1'!Q82 = "Yes", 1, 'Form responses 1'!Q82 = "No", 2, 0, TRUE)</f>
        <v>2</v>
      </c>
      <c r="R82" cm="1">
        <f t="array" ref="R82">_xlfn.IFS('Form responses 1'!R82 = "Yes", 1, 'Form responses 1'!R82 = "No", 2, 0, TRUE)</f>
        <v>2</v>
      </c>
      <c r="S82" cm="1">
        <f t="array" ref="S82">_xlfn.IFS('Form responses 1'!S82 = "Severely embarrassed", 1, 'Form responses 1'!S82 = "Somewhat uncomfortable", 2, 'Form responses 1'!S82= "Not affected", 3, 'Form responses 1'!S82= "Indifferent", 4, 0, TRUE)</f>
        <v>3</v>
      </c>
      <c r="T82" cm="1">
        <f t="array" ref="T82">_xlfn.IFS('Form responses 1'!T82 = "Yes", 1, 'Form responses 1'!T82 = "No", 2, 'Form responses 1'!T82 = "Not sure", 3, 0, TRUE)</f>
        <v>1</v>
      </c>
      <c r="U82" cm="1">
        <f t="array" ref="U82">_xlfn.IFS('Form responses 1'!U82 = "Strongly agree", 1, 'Form responses 1'!U82 = "Agree", 2, 'Form responses 1'!U82 = "Neutral", 3, 'Form responses 1'!U82 = "Disagree", 4, 0, TRUE)</f>
        <v>1</v>
      </c>
      <c r="V82" cm="1">
        <f t="array" ref="V82">_xlfn.IFS('Form responses 1'!V82 = "Selected", 1, 'Form responses 1'!V82 = "Not Selected", 0, 0, TRUE)</f>
        <v>1</v>
      </c>
      <c r="W82" cm="1">
        <f t="array" ref="W82">_xlfn.IFS('Form responses 1'!W82 = "Selected", 1, 'Form responses 1'!W82 = "Not Selected", 0, 0, TRUE)</f>
        <v>0</v>
      </c>
      <c r="X82" cm="1">
        <f t="array" ref="X82">_xlfn.IFS('Form responses 1'!X82 = "Selected", 1, 'Form responses 1'!X82 = "Not Selected", 0, 0, TRUE)</f>
        <v>0</v>
      </c>
      <c r="Y82" cm="1">
        <f t="array" ref="Y82">_xlfn.IFS('Form responses 1'!Y82 = "Selected", 1, 'Form responses 1'!Y82 = "Not Selected", 0, 0, TRUE)</f>
        <v>0</v>
      </c>
      <c r="Z82" cm="1">
        <f t="array" ref="Z82">_xlfn.IFS('Form responses 1'!Z82 = "Selected", 1, 'Form responses 1'!Z82 = "Not Selected", 0, 0, TRUE)</f>
        <v>1</v>
      </c>
      <c r="AA82" cm="1">
        <f t="array" ref="AA82">_xlfn.IFS('Form responses 1'!AA82 = "Very effective", 1, 'Form responses 1'!AA82 = "Somewhat effective", 2, 'Form responses 1'!AA82 = "Not effective", 3, 'Form responses 1'!AA82 = "Made it worse", 4, 0, TRUE)</f>
        <v>1</v>
      </c>
      <c r="AB82" cm="1">
        <f t="array" ref="AB82">_xlfn.IFS('Form responses 1'!AB82 = "Yes", 1, 'Form responses 1'!AB82 = "No", 2, 'Form responses 1'!AB82 = "Not sure", 3, 0, TRUE)</f>
        <v>1</v>
      </c>
      <c r="AC82" cm="1">
        <f t="array" ref="AC82">_xlfn.IFS('Form responses 1'!AC82 = "Yes", 1, 'Form responses 1'!AC82 = "No", 2, 0, TRUE)</f>
        <v>1</v>
      </c>
    </row>
    <row r="83" spans="1:29" x14ac:dyDescent="0.2">
      <c r="A83" cm="1">
        <f t="array" ref="A83">_xlfn.IFS('Form responses 1'!A83 = "18-24 years", 1, 'Form responses 1'!A83 = "25-34 years", 2, 'Form responses 1'!A83= "35-44 years", 3, 'Form responses 1'!A83= "45-54 years", 4, 'Form responses 1'!A83= "55-64 years", 5, 'Form responses 1'!A83= "65 &amp; above", 6, 0, TRUE)</f>
        <v>2</v>
      </c>
      <c r="B83" cm="1">
        <f t="array" ref="B83">_xlfn.IFS('Form responses 1'!B83 = "Female", 1, 'Form responses 1'!B83 = "Male", 2, 0, TRUE)</f>
        <v>1</v>
      </c>
      <c r="C83" t="s">
        <v>57</v>
      </c>
      <c r="D83" cm="1">
        <f t="array" ref="D83">_xlfn.IFS('Form responses 1'!D83 = "Once", 1, 'Form responses 1'!D83 = "Twice", 2, 'Form responses 1'!D83= "More than twice", 3, 'Form responses 1'!D83= "Occasionally", 4, 0, TRUE)</f>
        <v>2</v>
      </c>
      <c r="E83" cm="1">
        <f t="array" ref="E83">_xlfn.IFS('Form responses 1'!E83 = "Selected", 1, 'Form responses 1'!E83 = "Not Selected", 0, 0, TRUE)</f>
        <v>0</v>
      </c>
      <c r="F83" cm="1">
        <f t="array" ref="F83">_xlfn.IFS('Form responses 1'!F83 = "Selected", 1, 'Form responses 1'!F83 = "Not Selected", 0, 0, TRUE)</f>
        <v>1</v>
      </c>
      <c r="G83" cm="1">
        <f t="array" ref="G83">_xlfn.IFS('Form responses 1'!G83 = "Selected", 1, 'Form responses 1'!G83 = "Not Selected", 0, 0, TRUE)</f>
        <v>0</v>
      </c>
      <c r="H83" cm="1">
        <f t="array" ref="H83">_xlfn.IFS('Form responses 1'!H83 = "Selected", 1, 'Form responses 1'!H83 = "Not Selected", 0, 0, TRUE)</f>
        <v>0</v>
      </c>
      <c r="I83" cm="1">
        <f t="array" ref="I83">_xlfn.IFS('Form responses 1'!I83 = "Selected", 1, 'Form responses 1'!I83 = "Not Selected", 0, 0, TRUE)</f>
        <v>0</v>
      </c>
      <c r="J83" cm="1">
        <f t="array" ref="J83">_xlfn.IFS('Form responses 1'!J83 = "Selected", 1, 'Form responses 1'!J83 = "Not Selected", 0, 0, TRUE)</f>
        <v>0</v>
      </c>
      <c r="K83" cm="1">
        <f t="array" ref="K83">_xlfn.IFS('Form responses 1'!K83 = "Selected", 1, 'Form responses 1'!K83 = "Not Selected", 0, 0, TRUE)</f>
        <v>0</v>
      </c>
      <c r="L83" cm="1">
        <f t="array" ref="L83">_xlfn.IFS('Form responses 1'!L83 = "Selected", 1, 'Form responses 1'!L83 = "Not Selected", 0, 0, TRUE)</f>
        <v>1</v>
      </c>
      <c r="M83" cm="1">
        <f t="array" ref="M83">_xlfn.IFS('Form responses 1'!M83 = "Selected", 1, 'Form responses 1'!M83 = "Not Selected", 0, 0, TRUE)</f>
        <v>0</v>
      </c>
      <c r="N83" cm="1">
        <f t="array" ref="N83">_xlfn.IFS('Form responses 1'!N83 = "Selected", 1, 'Form responses 1'!N83 = "Not Selected", 0, 0, TRUE)</f>
        <v>0</v>
      </c>
      <c r="O83" cm="1">
        <f t="array" ref="O83">_xlfn.IFS('Form responses 1'!O83 = "Yes", 1, 'Form responses 1'!O83 = "No", 2, 0, TRUE)</f>
        <v>2</v>
      </c>
      <c r="P83" cm="1">
        <f t="array" ref="P83">_xlfn.IFS('Form responses 1'!P83 = "Yes", 1, 'Form responses 1'!P83 = "No", 2, 'Form responses 1'!P83 = "Not sure", 3, 0, TRUE)</f>
        <v>1</v>
      </c>
      <c r="Q83" cm="1">
        <f t="array" ref="Q83">_xlfn.IFS('Form responses 1'!Q83 = "Yes", 1, 'Form responses 1'!Q83 = "No", 2, 0, TRUE)</f>
        <v>2</v>
      </c>
      <c r="R83" cm="1">
        <f t="array" ref="R83">_xlfn.IFS('Form responses 1'!R83 = "Yes", 1, 'Form responses 1'!R83 = "No", 2, 0, TRUE)</f>
        <v>2</v>
      </c>
      <c r="S83" cm="1">
        <f t="array" ref="S83">_xlfn.IFS('Form responses 1'!S83 = "Severely embarrassed", 1, 'Form responses 1'!S83 = "Somewhat uncomfortable", 2, 'Form responses 1'!S83= "Not affected", 3, 'Form responses 1'!S83= "Indifferent", 4, 0, TRUE)</f>
        <v>3</v>
      </c>
      <c r="T83" cm="1">
        <f t="array" ref="T83">_xlfn.IFS('Form responses 1'!T83 = "Yes", 1, 'Form responses 1'!T83 = "No", 2, 'Form responses 1'!T83 = "Not sure", 3, 0, TRUE)</f>
        <v>2</v>
      </c>
      <c r="U83" cm="1">
        <f t="array" ref="U83">_xlfn.IFS('Form responses 1'!U83 = "Strongly agree", 1, 'Form responses 1'!U83 = "Agree", 2, 'Form responses 1'!U83 = "Neutral", 3, 'Form responses 1'!U83 = "Disagree", 4, 0, TRUE)</f>
        <v>2</v>
      </c>
      <c r="V83" cm="1">
        <f t="array" ref="V83">_xlfn.IFS('Form responses 1'!V83 = "Selected", 1, 'Form responses 1'!V83 = "Not Selected", 0, 0, TRUE)</f>
        <v>0</v>
      </c>
      <c r="W83" cm="1">
        <f t="array" ref="W83">_xlfn.IFS('Form responses 1'!W83 = "Selected", 1, 'Form responses 1'!W83 = "Not Selected", 0, 0, TRUE)</f>
        <v>0</v>
      </c>
      <c r="X83" cm="1">
        <f t="array" ref="X83">_xlfn.IFS('Form responses 1'!X83 = "Selected", 1, 'Form responses 1'!X83 = "Not Selected", 0, 0, TRUE)</f>
        <v>0</v>
      </c>
      <c r="Y83" cm="1">
        <f t="array" ref="Y83">_xlfn.IFS('Form responses 1'!Y83 = "Selected", 1, 'Form responses 1'!Y83 = "Not Selected", 0, 0, TRUE)</f>
        <v>0</v>
      </c>
      <c r="Z83" cm="1">
        <f t="array" ref="Z83">_xlfn.IFS('Form responses 1'!Z83 = "Selected", 1, 'Form responses 1'!Z83 = "Not Selected", 0, 0, TRUE)</f>
        <v>1</v>
      </c>
      <c r="AA83" cm="1">
        <f t="array" ref="AA83">_xlfn.IFS('Form responses 1'!AA83 = "Very effective", 1, 'Form responses 1'!AA83 = "Somewhat effective", 2, 'Form responses 1'!AA83 = "Not effective", 3, 'Form responses 1'!AA83 = "Made it worse", 4, 0, TRUE)</f>
        <v>1</v>
      </c>
      <c r="AB83" cm="1">
        <f t="array" ref="AB83">_xlfn.IFS('Form responses 1'!AB83 = "Yes", 1, 'Form responses 1'!AB83 = "No", 2, 'Form responses 1'!AB83 = "Not sure", 3, 0, TRUE)</f>
        <v>1</v>
      </c>
      <c r="AC83" cm="1">
        <f t="array" ref="AC83">_xlfn.IFS('Form responses 1'!AC83 = "Yes", 1, 'Form responses 1'!AC83 = "No", 2, 0, TRUE)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5896-AA4C-49B0-892E-D06ED22E6FA2}">
  <dimension ref="A1:AC83"/>
  <sheetViews>
    <sheetView topLeftCell="AC39" workbookViewId="0">
      <selection activeCell="A2" sqref="A2:AC83"/>
    </sheetView>
  </sheetViews>
  <sheetFormatPr defaultRowHeight="12.75" x14ac:dyDescent="0.2"/>
  <sheetData>
    <row r="1" spans="1:29" x14ac:dyDescent="0.2">
      <c r="A1" s="4" t="s">
        <v>100</v>
      </c>
      <c r="B1" s="4" t="s">
        <v>101</v>
      </c>
      <c r="C1" s="4" t="s">
        <v>128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115</v>
      </c>
      <c r="R1" s="4" t="s">
        <v>116</v>
      </c>
      <c r="S1" s="4" t="s">
        <v>117</v>
      </c>
      <c r="T1" s="4" t="s">
        <v>118</v>
      </c>
      <c r="U1" s="4" t="s">
        <v>119</v>
      </c>
      <c r="V1" s="4" t="s">
        <v>121</v>
      </c>
      <c r="W1" s="4" t="s">
        <v>122</v>
      </c>
      <c r="X1" s="4" t="s">
        <v>123</v>
      </c>
      <c r="Y1" s="4" t="s">
        <v>124</v>
      </c>
      <c r="Z1" s="4" t="s">
        <v>125</v>
      </c>
      <c r="AA1" s="4" t="s">
        <v>120</v>
      </c>
      <c r="AB1" s="4" t="s">
        <v>126</v>
      </c>
      <c r="AC1" s="4" t="s">
        <v>127</v>
      </c>
    </row>
    <row r="2" spans="1:29" x14ac:dyDescent="0.2">
      <c r="A2">
        <v>2</v>
      </c>
      <c r="B2">
        <v>2</v>
      </c>
      <c r="C2" t="s">
        <v>16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2</v>
      </c>
      <c r="P2">
        <v>3</v>
      </c>
      <c r="Q2">
        <v>2</v>
      </c>
      <c r="R2">
        <v>2</v>
      </c>
      <c r="S2">
        <v>3</v>
      </c>
      <c r="T2">
        <v>2</v>
      </c>
      <c r="U2">
        <v>2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>
        <v>1</v>
      </c>
    </row>
    <row r="3" spans="1:29" x14ac:dyDescent="0.2">
      <c r="A3">
        <v>2</v>
      </c>
      <c r="B3">
        <v>2</v>
      </c>
      <c r="C3" t="s">
        <v>24</v>
      </c>
      <c r="D3">
        <v>2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2</v>
      </c>
      <c r="P3">
        <v>2</v>
      </c>
      <c r="Q3">
        <v>2</v>
      </c>
      <c r="R3">
        <v>2</v>
      </c>
      <c r="S3">
        <v>3</v>
      </c>
      <c r="T3">
        <v>2</v>
      </c>
      <c r="U3">
        <v>2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</row>
    <row r="4" spans="1:29" x14ac:dyDescent="0.2">
      <c r="A4">
        <v>1</v>
      </c>
      <c r="B4">
        <v>2</v>
      </c>
      <c r="C4" t="s">
        <v>28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2</v>
      </c>
      <c r="P4">
        <v>2</v>
      </c>
      <c r="Q4">
        <v>2</v>
      </c>
      <c r="R4">
        <v>2</v>
      </c>
      <c r="S4">
        <v>3</v>
      </c>
      <c r="T4">
        <v>2</v>
      </c>
      <c r="U4">
        <v>2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3</v>
      </c>
      <c r="AC4">
        <v>1</v>
      </c>
    </row>
    <row r="5" spans="1:29" x14ac:dyDescent="0.2">
      <c r="A5">
        <v>2</v>
      </c>
      <c r="B5">
        <v>1</v>
      </c>
      <c r="C5" t="s">
        <v>30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2</v>
      </c>
      <c r="P5">
        <v>2</v>
      </c>
      <c r="Q5">
        <v>2</v>
      </c>
      <c r="R5">
        <v>2</v>
      </c>
      <c r="S5">
        <v>3</v>
      </c>
      <c r="T5">
        <v>2</v>
      </c>
      <c r="U5">
        <v>2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>
        <v>1</v>
      </c>
    </row>
    <row r="6" spans="1:29" x14ac:dyDescent="0.2">
      <c r="A6">
        <v>1</v>
      </c>
      <c r="B6">
        <v>1</v>
      </c>
      <c r="C6" t="s">
        <v>31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2</v>
      </c>
      <c r="P6">
        <v>2</v>
      </c>
      <c r="Q6">
        <v>1</v>
      </c>
      <c r="R6">
        <v>2</v>
      </c>
      <c r="S6">
        <v>3</v>
      </c>
      <c r="T6">
        <v>2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</row>
    <row r="7" spans="1:29" x14ac:dyDescent="0.2">
      <c r="A7">
        <v>2</v>
      </c>
      <c r="B7">
        <v>1</v>
      </c>
      <c r="C7" t="s">
        <v>33</v>
      </c>
      <c r="D7">
        <v>2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  <c r="R7">
        <v>1</v>
      </c>
      <c r="S7">
        <v>1</v>
      </c>
      <c r="T7">
        <v>2</v>
      </c>
      <c r="U7">
        <v>2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1</v>
      </c>
    </row>
    <row r="8" spans="1:29" x14ac:dyDescent="0.2">
      <c r="A8">
        <v>2</v>
      </c>
      <c r="B8">
        <v>2</v>
      </c>
      <c r="C8" t="s">
        <v>35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2</v>
      </c>
      <c r="P8">
        <v>1</v>
      </c>
      <c r="Q8">
        <v>2</v>
      </c>
      <c r="R8">
        <v>2</v>
      </c>
      <c r="S8">
        <v>3</v>
      </c>
      <c r="T8">
        <v>2</v>
      </c>
      <c r="U8">
        <v>2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1</v>
      </c>
    </row>
    <row r="9" spans="1:29" x14ac:dyDescent="0.2">
      <c r="A9">
        <v>1</v>
      </c>
      <c r="B9">
        <v>1</v>
      </c>
      <c r="C9" t="s">
        <v>36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2</v>
      </c>
      <c r="P9">
        <v>3</v>
      </c>
      <c r="Q9">
        <v>1</v>
      </c>
      <c r="R9">
        <v>2</v>
      </c>
      <c r="S9">
        <v>3</v>
      </c>
      <c r="T9">
        <v>2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</row>
    <row r="10" spans="1:29" x14ac:dyDescent="0.2">
      <c r="A10">
        <v>1</v>
      </c>
      <c r="B10">
        <v>1</v>
      </c>
      <c r="C10" t="s">
        <v>37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2</v>
      </c>
      <c r="P10">
        <v>2</v>
      </c>
      <c r="Q10">
        <v>1</v>
      </c>
      <c r="R10">
        <v>2</v>
      </c>
      <c r="S10">
        <v>3</v>
      </c>
      <c r="T10">
        <v>2</v>
      </c>
      <c r="U10">
        <v>2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</row>
    <row r="11" spans="1:29" x14ac:dyDescent="0.2">
      <c r="A11">
        <v>2</v>
      </c>
      <c r="B11">
        <v>2</v>
      </c>
      <c r="C11" t="s">
        <v>38</v>
      </c>
      <c r="D11">
        <v>3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2</v>
      </c>
      <c r="P11">
        <v>3</v>
      </c>
      <c r="Q11">
        <v>2</v>
      </c>
      <c r="R11">
        <v>2</v>
      </c>
      <c r="S11">
        <v>3</v>
      </c>
      <c r="T11">
        <v>2</v>
      </c>
      <c r="U11">
        <v>3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3</v>
      </c>
      <c r="AC11">
        <v>1</v>
      </c>
    </row>
    <row r="12" spans="1:29" x14ac:dyDescent="0.2">
      <c r="A12">
        <v>2</v>
      </c>
      <c r="B12">
        <v>1</v>
      </c>
      <c r="C12" t="s">
        <v>41</v>
      </c>
      <c r="D12">
        <v>2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2</v>
      </c>
      <c r="P12">
        <v>1</v>
      </c>
      <c r="Q12">
        <v>1</v>
      </c>
      <c r="R12">
        <v>2</v>
      </c>
      <c r="S12">
        <v>3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  <c r="AB12">
        <v>1</v>
      </c>
      <c r="AC12">
        <v>1</v>
      </c>
    </row>
    <row r="13" spans="1:29" x14ac:dyDescent="0.2">
      <c r="A13">
        <v>3</v>
      </c>
      <c r="B13">
        <v>1</v>
      </c>
      <c r="C13" t="s">
        <v>44</v>
      </c>
      <c r="D13">
        <v>2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2</v>
      </c>
      <c r="P13">
        <v>3</v>
      </c>
      <c r="Q13">
        <v>2</v>
      </c>
      <c r="R13">
        <v>2</v>
      </c>
      <c r="S13">
        <v>3</v>
      </c>
      <c r="T13">
        <v>2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>
        <v>1</v>
      </c>
    </row>
    <row r="14" spans="1:29" x14ac:dyDescent="0.2">
      <c r="A14">
        <v>2</v>
      </c>
      <c r="B14">
        <v>1</v>
      </c>
      <c r="C14" t="s">
        <v>35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2</v>
      </c>
      <c r="P14">
        <v>1</v>
      </c>
      <c r="Q14">
        <v>1</v>
      </c>
      <c r="R14">
        <v>2</v>
      </c>
      <c r="S14">
        <v>3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1</v>
      </c>
    </row>
    <row r="15" spans="1:29" x14ac:dyDescent="0.2">
      <c r="A15">
        <v>2</v>
      </c>
      <c r="B15">
        <v>1</v>
      </c>
      <c r="C15" t="s">
        <v>45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2</v>
      </c>
      <c r="P15">
        <v>3</v>
      </c>
      <c r="Q15">
        <v>2</v>
      </c>
      <c r="R15">
        <v>2</v>
      </c>
      <c r="S15">
        <v>3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</row>
    <row r="16" spans="1:29" x14ac:dyDescent="0.2">
      <c r="A16">
        <v>2</v>
      </c>
      <c r="B16">
        <v>1</v>
      </c>
      <c r="C16" t="s">
        <v>28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2</v>
      </c>
      <c r="P16">
        <v>2</v>
      </c>
      <c r="Q16">
        <v>2</v>
      </c>
      <c r="R16">
        <v>2</v>
      </c>
      <c r="S16">
        <v>3</v>
      </c>
      <c r="T16">
        <v>2</v>
      </c>
      <c r="U16">
        <v>2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</row>
    <row r="17" spans="1:29" x14ac:dyDescent="0.2">
      <c r="A17">
        <v>2</v>
      </c>
      <c r="B17">
        <v>1</v>
      </c>
      <c r="C17" t="s">
        <v>28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2</v>
      </c>
      <c r="P17">
        <v>1</v>
      </c>
      <c r="Q17">
        <v>2</v>
      </c>
      <c r="R17">
        <v>1</v>
      </c>
      <c r="S17">
        <v>1</v>
      </c>
      <c r="T17">
        <v>1</v>
      </c>
      <c r="U17">
        <v>2</v>
      </c>
      <c r="V17">
        <v>0</v>
      </c>
      <c r="W17">
        <v>0</v>
      </c>
      <c r="X17">
        <v>0</v>
      </c>
      <c r="Y17">
        <v>0</v>
      </c>
      <c r="Z17">
        <v>1</v>
      </c>
      <c r="AA17">
        <v>2</v>
      </c>
      <c r="AB17">
        <v>1</v>
      </c>
      <c r="AC17">
        <v>1</v>
      </c>
    </row>
    <row r="18" spans="1:29" x14ac:dyDescent="0.2">
      <c r="A18">
        <v>1</v>
      </c>
      <c r="B18">
        <v>2</v>
      </c>
      <c r="C18" t="s">
        <v>48</v>
      </c>
      <c r="D18">
        <v>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2</v>
      </c>
      <c r="P18">
        <v>2</v>
      </c>
      <c r="Q18">
        <v>2</v>
      </c>
      <c r="R18">
        <v>2</v>
      </c>
      <c r="S18">
        <v>3</v>
      </c>
      <c r="T18">
        <v>2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2</v>
      </c>
      <c r="AC18">
        <v>1</v>
      </c>
    </row>
    <row r="19" spans="1:29" x14ac:dyDescent="0.2">
      <c r="A19">
        <v>2</v>
      </c>
      <c r="B19">
        <v>1</v>
      </c>
      <c r="C19" t="s">
        <v>35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2</v>
      </c>
      <c r="P19">
        <v>3</v>
      </c>
      <c r="Q19">
        <v>2</v>
      </c>
      <c r="R19">
        <v>2</v>
      </c>
      <c r="S19">
        <v>3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</row>
    <row r="20" spans="1:29" x14ac:dyDescent="0.2">
      <c r="A20">
        <v>2</v>
      </c>
      <c r="B20">
        <v>2</v>
      </c>
      <c r="C20" t="s">
        <v>50</v>
      </c>
      <c r="D20">
        <v>2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2</v>
      </c>
      <c r="T20">
        <v>1</v>
      </c>
      <c r="U20">
        <v>2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</row>
    <row r="21" spans="1:29" x14ac:dyDescent="0.2">
      <c r="A21">
        <v>1</v>
      </c>
      <c r="B21">
        <v>1</v>
      </c>
      <c r="C21" t="s">
        <v>51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2</v>
      </c>
      <c r="P21">
        <v>2</v>
      </c>
      <c r="Q21">
        <v>2</v>
      </c>
      <c r="R21">
        <v>2</v>
      </c>
      <c r="S21">
        <v>3</v>
      </c>
      <c r="T21">
        <v>2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</row>
    <row r="22" spans="1:29" x14ac:dyDescent="0.2">
      <c r="A22">
        <v>1</v>
      </c>
      <c r="B22">
        <v>1</v>
      </c>
      <c r="C22" t="s">
        <v>52</v>
      </c>
      <c r="D22">
        <v>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2</v>
      </c>
      <c r="Q22">
        <v>1</v>
      </c>
      <c r="R22">
        <v>1</v>
      </c>
      <c r="S22">
        <v>3</v>
      </c>
      <c r="T22">
        <v>3</v>
      </c>
      <c r="U22">
        <v>3</v>
      </c>
      <c r="V22">
        <v>1</v>
      </c>
      <c r="W22">
        <v>0</v>
      </c>
      <c r="X22">
        <v>0</v>
      </c>
      <c r="Y22">
        <v>0</v>
      </c>
      <c r="Z22">
        <v>0</v>
      </c>
      <c r="AA22">
        <v>2</v>
      </c>
      <c r="AB22">
        <v>1</v>
      </c>
      <c r="AC22">
        <v>1</v>
      </c>
    </row>
    <row r="23" spans="1:29" x14ac:dyDescent="0.2">
      <c r="A23">
        <v>3</v>
      </c>
      <c r="B23">
        <v>1</v>
      </c>
      <c r="C23" t="s">
        <v>53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2</v>
      </c>
      <c r="R23">
        <v>2</v>
      </c>
      <c r="S23">
        <v>3</v>
      </c>
      <c r="T23">
        <v>2</v>
      </c>
      <c r="U23">
        <v>4</v>
      </c>
      <c r="V23">
        <v>1</v>
      </c>
      <c r="W23">
        <v>1</v>
      </c>
      <c r="X23">
        <v>0</v>
      </c>
      <c r="Y23">
        <v>0</v>
      </c>
      <c r="Z23">
        <v>1</v>
      </c>
      <c r="AA23">
        <v>3</v>
      </c>
      <c r="AB23">
        <v>1</v>
      </c>
      <c r="AC23">
        <v>1</v>
      </c>
    </row>
    <row r="24" spans="1:29" x14ac:dyDescent="0.2">
      <c r="A24">
        <v>1</v>
      </c>
      <c r="B24">
        <v>1</v>
      </c>
      <c r="C24" t="s">
        <v>56</v>
      </c>
      <c r="D24">
        <v>3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2</v>
      </c>
      <c r="P24">
        <v>2</v>
      </c>
      <c r="Q24">
        <v>2</v>
      </c>
      <c r="R24">
        <v>2</v>
      </c>
      <c r="S24">
        <v>3</v>
      </c>
      <c r="T24">
        <v>2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</row>
    <row r="25" spans="1:29" x14ac:dyDescent="0.2">
      <c r="A25">
        <v>2</v>
      </c>
      <c r="B25">
        <v>2</v>
      </c>
      <c r="C25" t="s">
        <v>57</v>
      </c>
      <c r="D25">
        <v>2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2</v>
      </c>
      <c r="Q25">
        <v>2</v>
      </c>
      <c r="R25">
        <v>1</v>
      </c>
      <c r="S25">
        <v>1</v>
      </c>
      <c r="T25">
        <v>2</v>
      </c>
      <c r="U25">
        <v>2</v>
      </c>
      <c r="V25">
        <v>1</v>
      </c>
      <c r="W25">
        <v>0</v>
      </c>
      <c r="X25">
        <v>0</v>
      </c>
      <c r="Y25">
        <v>0</v>
      </c>
      <c r="Z25">
        <v>1</v>
      </c>
      <c r="AA25">
        <v>2</v>
      </c>
      <c r="AB25">
        <v>1</v>
      </c>
      <c r="AC25">
        <v>1</v>
      </c>
    </row>
    <row r="26" spans="1:29" x14ac:dyDescent="0.2">
      <c r="A26">
        <v>3</v>
      </c>
      <c r="B26">
        <v>1</v>
      </c>
      <c r="C26" t="s">
        <v>28</v>
      </c>
      <c r="D26">
        <v>3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2</v>
      </c>
      <c r="P26">
        <v>1</v>
      </c>
      <c r="Q26">
        <v>2</v>
      </c>
      <c r="R26">
        <v>2</v>
      </c>
      <c r="S26">
        <v>3</v>
      </c>
      <c r="T26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1</v>
      </c>
    </row>
    <row r="27" spans="1:29" x14ac:dyDescent="0.2">
      <c r="A27">
        <v>2</v>
      </c>
      <c r="B27">
        <v>1</v>
      </c>
      <c r="C27" t="s">
        <v>24</v>
      </c>
      <c r="D27">
        <v>3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2</v>
      </c>
      <c r="P27">
        <v>1</v>
      </c>
      <c r="Q27">
        <v>2</v>
      </c>
      <c r="R27">
        <v>2</v>
      </c>
      <c r="S27">
        <v>3</v>
      </c>
      <c r="T27">
        <v>2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</row>
    <row r="28" spans="1:29" x14ac:dyDescent="0.2">
      <c r="A28">
        <v>1</v>
      </c>
      <c r="B28">
        <v>2</v>
      </c>
      <c r="C28" t="s">
        <v>51</v>
      </c>
      <c r="D28">
        <v>2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2</v>
      </c>
      <c r="P28">
        <v>1</v>
      </c>
      <c r="Q28">
        <v>2</v>
      </c>
      <c r="R28">
        <v>2</v>
      </c>
      <c r="S28">
        <v>3</v>
      </c>
      <c r="T28">
        <v>2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1</v>
      </c>
      <c r="AC28">
        <v>1</v>
      </c>
    </row>
    <row r="29" spans="1:29" x14ac:dyDescent="0.2">
      <c r="A29">
        <v>2</v>
      </c>
      <c r="B29">
        <v>1</v>
      </c>
      <c r="C29" t="s">
        <v>58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2</v>
      </c>
      <c r="P29">
        <v>3</v>
      </c>
      <c r="Q29">
        <v>2</v>
      </c>
      <c r="R29">
        <v>2</v>
      </c>
      <c r="S29">
        <v>3</v>
      </c>
      <c r="T29">
        <v>2</v>
      </c>
      <c r="U29">
        <v>2</v>
      </c>
      <c r="V29">
        <v>1</v>
      </c>
      <c r="W29">
        <v>0</v>
      </c>
      <c r="X29">
        <v>0</v>
      </c>
      <c r="Y29">
        <v>0</v>
      </c>
      <c r="Z29">
        <v>1</v>
      </c>
      <c r="AA29">
        <v>2</v>
      </c>
      <c r="AB29">
        <v>1</v>
      </c>
      <c r="AC29">
        <v>1</v>
      </c>
    </row>
    <row r="30" spans="1:29" x14ac:dyDescent="0.2">
      <c r="A30">
        <v>1</v>
      </c>
      <c r="B30">
        <v>1</v>
      </c>
      <c r="C30" t="s">
        <v>59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2</v>
      </c>
      <c r="P30">
        <v>1</v>
      </c>
      <c r="Q30">
        <v>2</v>
      </c>
      <c r="R30">
        <v>2</v>
      </c>
      <c r="S30">
        <v>3</v>
      </c>
      <c r="T30">
        <v>2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1</v>
      </c>
    </row>
    <row r="31" spans="1:29" x14ac:dyDescent="0.2">
      <c r="A31">
        <v>1</v>
      </c>
      <c r="B31">
        <v>2</v>
      </c>
      <c r="C31" t="s">
        <v>60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2</v>
      </c>
      <c r="Q31">
        <v>2</v>
      </c>
      <c r="R31">
        <v>1</v>
      </c>
      <c r="S31">
        <v>4</v>
      </c>
      <c r="T31">
        <v>3</v>
      </c>
      <c r="U31">
        <v>2</v>
      </c>
      <c r="V31">
        <v>1</v>
      </c>
      <c r="W31">
        <v>0</v>
      </c>
      <c r="X31">
        <v>0</v>
      </c>
      <c r="Y31">
        <v>0</v>
      </c>
      <c r="Z31">
        <v>1</v>
      </c>
      <c r="AA31">
        <v>2</v>
      </c>
      <c r="AB31">
        <v>1</v>
      </c>
      <c r="AC31">
        <v>2</v>
      </c>
    </row>
    <row r="32" spans="1:29" x14ac:dyDescent="0.2">
      <c r="A32">
        <v>1</v>
      </c>
      <c r="B32">
        <v>1</v>
      </c>
      <c r="C32" t="s">
        <v>16</v>
      </c>
      <c r="D32">
        <v>2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2</v>
      </c>
      <c r="P32">
        <v>3</v>
      </c>
      <c r="Q32">
        <v>2</v>
      </c>
      <c r="R32">
        <v>2</v>
      </c>
      <c r="S32">
        <v>3</v>
      </c>
      <c r="T32">
        <v>2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1</v>
      </c>
      <c r="AC32">
        <v>1</v>
      </c>
    </row>
    <row r="33" spans="1:29" x14ac:dyDescent="0.2">
      <c r="A33">
        <v>1</v>
      </c>
      <c r="B33">
        <v>1</v>
      </c>
      <c r="C33" t="s">
        <v>24</v>
      </c>
      <c r="D33">
        <v>2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1</v>
      </c>
      <c r="O33">
        <v>2</v>
      </c>
      <c r="P33">
        <v>2</v>
      </c>
      <c r="Q33">
        <v>2</v>
      </c>
      <c r="R33">
        <v>2</v>
      </c>
      <c r="S33">
        <v>3</v>
      </c>
      <c r="T33">
        <v>2</v>
      </c>
      <c r="U33">
        <v>2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</row>
    <row r="34" spans="1:29" x14ac:dyDescent="0.2">
      <c r="A34">
        <v>2</v>
      </c>
      <c r="B34">
        <v>1</v>
      </c>
      <c r="C34" t="s">
        <v>62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2</v>
      </c>
      <c r="P34">
        <v>2</v>
      </c>
      <c r="Q34">
        <v>2</v>
      </c>
      <c r="R34">
        <v>2</v>
      </c>
      <c r="S34">
        <v>3</v>
      </c>
      <c r="T34">
        <v>2</v>
      </c>
      <c r="U34">
        <v>2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2</v>
      </c>
      <c r="AC34">
        <v>1</v>
      </c>
    </row>
    <row r="35" spans="1:29" x14ac:dyDescent="0.2">
      <c r="A35">
        <v>2</v>
      </c>
      <c r="B35">
        <v>2</v>
      </c>
      <c r="C35" t="s">
        <v>63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2</v>
      </c>
      <c r="Q35">
        <v>2</v>
      </c>
      <c r="R35">
        <v>2</v>
      </c>
      <c r="S35">
        <v>3</v>
      </c>
      <c r="T35">
        <v>2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</row>
    <row r="36" spans="1:29" x14ac:dyDescent="0.2">
      <c r="A36">
        <v>2</v>
      </c>
      <c r="B36">
        <v>2</v>
      </c>
      <c r="C36" t="s">
        <v>63</v>
      </c>
      <c r="D36">
        <v>2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2</v>
      </c>
      <c r="Q36">
        <v>2</v>
      </c>
      <c r="R36">
        <v>2</v>
      </c>
      <c r="S36">
        <v>3</v>
      </c>
      <c r="T36">
        <v>2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2</v>
      </c>
    </row>
    <row r="37" spans="1:29" x14ac:dyDescent="0.2">
      <c r="A37">
        <v>1</v>
      </c>
      <c r="B37">
        <v>1</v>
      </c>
      <c r="C37" t="s">
        <v>62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2</v>
      </c>
      <c r="P37">
        <v>2</v>
      </c>
      <c r="Q37">
        <v>1</v>
      </c>
      <c r="R37">
        <v>2</v>
      </c>
      <c r="S37">
        <v>3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</row>
    <row r="38" spans="1:29" x14ac:dyDescent="0.2">
      <c r="A38">
        <v>1</v>
      </c>
      <c r="B38">
        <v>2</v>
      </c>
      <c r="C38" t="s">
        <v>30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2</v>
      </c>
      <c r="P38">
        <v>2</v>
      </c>
      <c r="Q38">
        <v>1</v>
      </c>
      <c r="R38">
        <v>2</v>
      </c>
      <c r="S38">
        <v>3</v>
      </c>
      <c r="T38">
        <v>2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2</v>
      </c>
      <c r="AB38">
        <v>1</v>
      </c>
      <c r="AC38">
        <v>1</v>
      </c>
    </row>
    <row r="39" spans="1:29" x14ac:dyDescent="0.2">
      <c r="A39">
        <v>2</v>
      </c>
      <c r="B39">
        <v>1</v>
      </c>
      <c r="C39" t="s">
        <v>50</v>
      </c>
      <c r="D39">
        <v>2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2</v>
      </c>
      <c r="P39">
        <v>2</v>
      </c>
      <c r="Q39">
        <v>2</v>
      </c>
      <c r="R39">
        <v>2</v>
      </c>
      <c r="S39">
        <v>3</v>
      </c>
      <c r="T39">
        <v>2</v>
      </c>
      <c r="U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</row>
    <row r="40" spans="1:29" x14ac:dyDescent="0.2">
      <c r="A40">
        <v>2</v>
      </c>
      <c r="B40">
        <v>1</v>
      </c>
      <c r="C40" t="s">
        <v>62</v>
      </c>
      <c r="D40">
        <v>2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2</v>
      </c>
      <c r="P40">
        <v>2</v>
      </c>
      <c r="Q40">
        <v>1</v>
      </c>
      <c r="R40">
        <v>1</v>
      </c>
      <c r="S40">
        <v>2</v>
      </c>
      <c r="T40">
        <v>2</v>
      </c>
      <c r="U40">
        <v>2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</row>
    <row r="41" spans="1:29" x14ac:dyDescent="0.2">
      <c r="A41">
        <v>2</v>
      </c>
      <c r="B41">
        <v>1</v>
      </c>
      <c r="C41" t="s">
        <v>64</v>
      </c>
      <c r="D41">
        <v>2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2</v>
      </c>
      <c r="P41">
        <v>2</v>
      </c>
      <c r="Q41">
        <v>2</v>
      </c>
      <c r="R41">
        <v>2</v>
      </c>
      <c r="S41">
        <v>3</v>
      </c>
      <c r="T41">
        <v>2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</row>
    <row r="42" spans="1:29" x14ac:dyDescent="0.2">
      <c r="A42">
        <v>1</v>
      </c>
      <c r="B42">
        <v>1</v>
      </c>
      <c r="C42" t="s">
        <v>35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2</v>
      </c>
      <c r="P42">
        <v>1</v>
      </c>
      <c r="Q42">
        <v>2</v>
      </c>
      <c r="R42">
        <v>1</v>
      </c>
      <c r="S42">
        <v>2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1</v>
      </c>
      <c r="AC42">
        <v>1</v>
      </c>
    </row>
    <row r="43" spans="1:29" x14ac:dyDescent="0.2">
      <c r="A43">
        <v>3</v>
      </c>
      <c r="B43">
        <v>1</v>
      </c>
      <c r="C43" t="s">
        <v>65</v>
      </c>
      <c r="D43">
        <v>2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2</v>
      </c>
      <c r="P43">
        <v>2</v>
      </c>
      <c r="Q43">
        <v>2</v>
      </c>
      <c r="R43">
        <v>2</v>
      </c>
      <c r="S43">
        <v>3</v>
      </c>
      <c r="T43">
        <v>2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>
        <v>1</v>
      </c>
    </row>
    <row r="44" spans="1:29" x14ac:dyDescent="0.2">
      <c r="A44">
        <v>2</v>
      </c>
      <c r="B44">
        <v>2</v>
      </c>
      <c r="C44" t="s">
        <v>51</v>
      </c>
      <c r="D44">
        <v>2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3</v>
      </c>
      <c r="Q44">
        <v>2</v>
      </c>
      <c r="R44">
        <v>2</v>
      </c>
      <c r="S44">
        <v>3</v>
      </c>
      <c r="T44">
        <v>2</v>
      </c>
      <c r="U44">
        <v>3</v>
      </c>
      <c r="V44">
        <v>1</v>
      </c>
      <c r="W44">
        <v>1</v>
      </c>
      <c r="X44">
        <v>0</v>
      </c>
      <c r="Y44">
        <v>0</v>
      </c>
      <c r="Z44">
        <v>1</v>
      </c>
      <c r="AA44">
        <v>1</v>
      </c>
      <c r="AB44">
        <v>3</v>
      </c>
      <c r="AC44">
        <v>1</v>
      </c>
    </row>
    <row r="45" spans="1:29" x14ac:dyDescent="0.2">
      <c r="A45">
        <v>2</v>
      </c>
      <c r="B45">
        <v>1</v>
      </c>
      <c r="C45" t="s">
        <v>62</v>
      </c>
      <c r="D45">
        <v>2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2</v>
      </c>
      <c r="R45">
        <v>2</v>
      </c>
      <c r="S45">
        <v>3</v>
      </c>
      <c r="T45">
        <v>1</v>
      </c>
      <c r="U45">
        <v>2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1</v>
      </c>
    </row>
    <row r="46" spans="1:29" x14ac:dyDescent="0.2">
      <c r="A46">
        <v>2</v>
      </c>
      <c r="B46">
        <v>1</v>
      </c>
      <c r="C46" t="s">
        <v>51</v>
      </c>
      <c r="D46">
        <v>3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3</v>
      </c>
      <c r="T46">
        <v>2</v>
      </c>
      <c r="U46">
        <v>2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1</v>
      </c>
    </row>
    <row r="47" spans="1:29" x14ac:dyDescent="0.2">
      <c r="A47">
        <v>2</v>
      </c>
      <c r="B47">
        <v>1</v>
      </c>
      <c r="C47" t="s">
        <v>51</v>
      </c>
      <c r="D47">
        <v>3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2</v>
      </c>
      <c r="P47">
        <v>2</v>
      </c>
      <c r="Q47">
        <v>2</v>
      </c>
      <c r="R47">
        <v>2</v>
      </c>
      <c r="S47">
        <v>3</v>
      </c>
      <c r="T47">
        <v>2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1</v>
      </c>
      <c r="AC47">
        <v>1</v>
      </c>
    </row>
    <row r="48" spans="1:29" x14ac:dyDescent="0.2">
      <c r="A48">
        <v>2</v>
      </c>
      <c r="B48">
        <v>2</v>
      </c>
      <c r="C48" t="s">
        <v>57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2</v>
      </c>
      <c r="P48">
        <v>2</v>
      </c>
      <c r="Q48">
        <v>2</v>
      </c>
      <c r="R48">
        <v>2</v>
      </c>
      <c r="S48">
        <v>3</v>
      </c>
      <c r="T48">
        <v>2</v>
      </c>
      <c r="U48">
        <v>2</v>
      </c>
      <c r="V48">
        <v>0</v>
      </c>
      <c r="W48">
        <v>0</v>
      </c>
      <c r="X48">
        <v>0</v>
      </c>
      <c r="Y48">
        <v>0</v>
      </c>
      <c r="Z48">
        <v>1</v>
      </c>
      <c r="AA48">
        <v>3</v>
      </c>
      <c r="AB48">
        <v>1</v>
      </c>
      <c r="AC48">
        <v>1</v>
      </c>
    </row>
    <row r="49" spans="1:29" x14ac:dyDescent="0.2">
      <c r="A49">
        <v>2</v>
      </c>
      <c r="B49">
        <v>1</v>
      </c>
      <c r="C49" t="s">
        <v>60</v>
      </c>
      <c r="D49">
        <v>2</v>
      </c>
      <c r="E49">
        <v>1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2</v>
      </c>
      <c r="P49">
        <v>2</v>
      </c>
      <c r="Q49">
        <v>2</v>
      </c>
      <c r="R49">
        <v>2</v>
      </c>
      <c r="S49">
        <v>3</v>
      </c>
      <c r="T49">
        <v>2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3</v>
      </c>
      <c r="AC49">
        <v>1</v>
      </c>
    </row>
    <row r="50" spans="1:29" x14ac:dyDescent="0.2">
      <c r="A50">
        <v>1</v>
      </c>
      <c r="B50">
        <v>1</v>
      </c>
      <c r="C50" t="s">
        <v>66</v>
      </c>
      <c r="D50">
        <v>2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2</v>
      </c>
      <c r="P50">
        <v>2</v>
      </c>
      <c r="Q50">
        <v>2</v>
      </c>
      <c r="R50">
        <v>2</v>
      </c>
      <c r="S50">
        <v>3</v>
      </c>
      <c r="T50">
        <v>2</v>
      </c>
      <c r="U50">
        <v>2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1</v>
      </c>
      <c r="AC50">
        <v>1</v>
      </c>
    </row>
    <row r="51" spans="1:29" x14ac:dyDescent="0.2">
      <c r="A51">
        <v>2</v>
      </c>
      <c r="B51">
        <v>1</v>
      </c>
      <c r="C51" t="s">
        <v>62</v>
      </c>
      <c r="D51">
        <v>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2</v>
      </c>
      <c r="P51">
        <v>3</v>
      </c>
      <c r="Q51">
        <v>2</v>
      </c>
      <c r="R51">
        <v>2</v>
      </c>
      <c r="S51">
        <v>3</v>
      </c>
      <c r="T51">
        <v>2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</row>
    <row r="52" spans="1:29" x14ac:dyDescent="0.2">
      <c r="A52">
        <v>3</v>
      </c>
      <c r="B52">
        <v>1</v>
      </c>
      <c r="C52" t="s">
        <v>31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2</v>
      </c>
      <c r="P52">
        <v>2</v>
      </c>
      <c r="Q52">
        <v>2</v>
      </c>
      <c r="R52">
        <v>2</v>
      </c>
      <c r="S52">
        <v>3</v>
      </c>
      <c r="T52">
        <v>2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2</v>
      </c>
      <c r="AC52">
        <v>1</v>
      </c>
    </row>
    <row r="53" spans="1:29" x14ac:dyDescent="0.2">
      <c r="A53">
        <v>2</v>
      </c>
      <c r="B53">
        <v>1</v>
      </c>
      <c r="C53" t="s">
        <v>35</v>
      </c>
      <c r="D53">
        <v>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R53">
        <v>1</v>
      </c>
      <c r="S53">
        <v>1</v>
      </c>
      <c r="T53">
        <v>2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1</v>
      </c>
      <c r="AC53">
        <v>1</v>
      </c>
    </row>
    <row r="54" spans="1:29" x14ac:dyDescent="0.2">
      <c r="A54">
        <v>2</v>
      </c>
      <c r="B54">
        <v>2</v>
      </c>
      <c r="C54" t="s">
        <v>57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2</v>
      </c>
      <c r="P54">
        <v>1</v>
      </c>
      <c r="Q54">
        <v>2</v>
      </c>
      <c r="R54">
        <v>1</v>
      </c>
      <c r="S54">
        <v>2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</row>
    <row r="55" spans="1:29" x14ac:dyDescent="0.2">
      <c r="A55">
        <v>2</v>
      </c>
      <c r="B55">
        <v>1</v>
      </c>
      <c r="C55" t="s">
        <v>67</v>
      </c>
      <c r="D55">
        <v>2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2</v>
      </c>
      <c r="P55">
        <v>3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2</v>
      </c>
      <c r="AB55">
        <v>1</v>
      </c>
      <c r="AC55">
        <v>1</v>
      </c>
    </row>
    <row r="56" spans="1:29" x14ac:dyDescent="0.2">
      <c r="A56">
        <v>3</v>
      </c>
      <c r="B56">
        <v>1</v>
      </c>
      <c r="C56" t="s">
        <v>41</v>
      </c>
      <c r="D56">
        <v>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2</v>
      </c>
      <c r="P56">
        <v>2</v>
      </c>
      <c r="Q56">
        <v>1</v>
      </c>
      <c r="R56">
        <v>2</v>
      </c>
      <c r="S56">
        <v>3</v>
      </c>
      <c r="T56">
        <v>2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2</v>
      </c>
      <c r="AB56">
        <v>1</v>
      </c>
      <c r="AC56">
        <v>1</v>
      </c>
    </row>
    <row r="57" spans="1:29" x14ac:dyDescent="0.2">
      <c r="A57">
        <v>3</v>
      </c>
      <c r="B57">
        <v>1</v>
      </c>
      <c r="C57" t="s">
        <v>41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2</v>
      </c>
      <c r="P57">
        <v>3</v>
      </c>
      <c r="Q57">
        <v>2</v>
      </c>
      <c r="R57">
        <v>2</v>
      </c>
      <c r="S57">
        <v>3</v>
      </c>
      <c r="T57">
        <v>2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</row>
    <row r="58" spans="1:29" x14ac:dyDescent="0.2">
      <c r="A58">
        <v>2</v>
      </c>
      <c r="B58">
        <v>2</v>
      </c>
      <c r="C58" t="s">
        <v>51</v>
      </c>
      <c r="D58">
        <v>2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2</v>
      </c>
      <c r="P58">
        <v>1</v>
      </c>
      <c r="Q58">
        <v>2</v>
      </c>
      <c r="R58">
        <v>2</v>
      </c>
      <c r="S58">
        <v>3</v>
      </c>
      <c r="T58">
        <v>2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  <c r="AC58">
        <v>1</v>
      </c>
    </row>
    <row r="59" spans="1:29" x14ac:dyDescent="0.2">
      <c r="A59">
        <v>2</v>
      </c>
      <c r="B59">
        <v>2</v>
      </c>
      <c r="C59" t="s">
        <v>51</v>
      </c>
      <c r="D59">
        <v>2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2</v>
      </c>
      <c r="R59">
        <v>2</v>
      </c>
      <c r="S59">
        <v>3</v>
      </c>
      <c r="T59">
        <v>2</v>
      </c>
      <c r="U59">
        <v>2</v>
      </c>
      <c r="V59">
        <v>1</v>
      </c>
      <c r="W59">
        <v>0</v>
      </c>
      <c r="X59">
        <v>1</v>
      </c>
      <c r="Y59">
        <v>0</v>
      </c>
      <c r="Z59">
        <v>1</v>
      </c>
      <c r="AA59">
        <v>2</v>
      </c>
      <c r="AB59">
        <v>2</v>
      </c>
      <c r="AC59">
        <v>1</v>
      </c>
    </row>
    <row r="60" spans="1:29" x14ac:dyDescent="0.2">
      <c r="A60">
        <v>2</v>
      </c>
      <c r="B60">
        <v>1</v>
      </c>
      <c r="C60" t="s">
        <v>68</v>
      </c>
      <c r="D60">
        <v>2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2</v>
      </c>
      <c r="P60">
        <v>2</v>
      </c>
      <c r="Q60">
        <v>2</v>
      </c>
      <c r="R60">
        <v>2</v>
      </c>
      <c r="S60">
        <v>3</v>
      </c>
      <c r="T60">
        <v>3</v>
      </c>
      <c r="U60">
        <v>2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1</v>
      </c>
      <c r="AC60">
        <v>1</v>
      </c>
    </row>
    <row r="61" spans="1:29" x14ac:dyDescent="0.2">
      <c r="A61">
        <v>1</v>
      </c>
      <c r="B61">
        <v>2</v>
      </c>
      <c r="C61" t="s">
        <v>35</v>
      </c>
      <c r="D61">
        <v>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2</v>
      </c>
      <c r="P61">
        <v>2</v>
      </c>
      <c r="Q61">
        <v>2</v>
      </c>
      <c r="R61">
        <v>2</v>
      </c>
      <c r="S61">
        <v>3</v>
      </c>
      <c r="T61">
        <v>2</v>
      </c>
      <c r="U61">
        <v>2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</row>
    <row r="62" spans="1:29" x14ac:dyDescent="0.2">
      <c r="A62">
        <v>1</v>
      </c>
      <c r="B62">
        <v>1</v>
      </c>
      <c r="C62" t="s">
        <v>69</v>
      </c>
      <c r="D62">
        <v>2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2</v>
      </c>
      <c r="P62">
        <v>2</v>
      </c>
      <c r="Q62">
        <v>1</v>
      </c>
      <c r="R62">
        <v>2</v>
      </c>
      <c r="S62">
        <v>3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1</v>
      </c>
      <c r="AB62">
        <v>2</v>
      </c>
      <c r="AC62">
        <v>2</v>
      </c>
    </row>
    <row r="63" spans="1:29" x14ac:dyDescent="0.2">
      <c r="A63">
        <v>2</v>
      </c>
      <c r="B63">
        <v>1</v>
      </c>
      <c r="C63" t="s">
        <v>70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2</v>
      </c>
      <c r="P63">
        <v>2</v>
      </c>
      <c r="Q63">
        <v>2</v>
      </c>
      <c r="R63">
        <v>2</v>
      </c>
      <c r="S63">
        <v>3</v>
      </c>
      <c r="T63">
        <v>2</v>
      </c>
      <c r="U63">
        <v>2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1</v>
      </c>
    </row>
    <row r="64" spans="1:29" x14ac:dyDescent="0.2">
      <c r="A64">
        <v>1</v>
      </c>
      <c r="B64">
        <v>1</v>
      </c>
      <c r="C64" t="s">
        <v>71</v>
      </c>
      <c r="D64">
        <v>2</v>
      </c>
      <c r="E64">
        <v>0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0</v>
      </c>
      <c r="M64">
        <v>1</v>
      </c>
      <c r="N64">
        <v>0</v>
      </c>
      <c r="O64">
        <v>2</v>
      </c>
      <c r="P64">
        <v>3</v>
      </c>
      <c r="Q64">
        <v>1</v>
      </c>
      <c r="R64">
        <v>2</v>
      </c>
      <c r="S64">
        <v>3</v>
      </c>
      <c r="T64">
        <v>2</v>
      </c>
      <c r="U64">
        <v>1</v>
      </c>
      <c r="V64">
        <v>1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 x14ac:dyDescent="0.2">
      <c r="A65">
        <v>2</v>
      </c>
      <c r="B65">
        <v>1</v>
      </c>
      <c r="C65" t="s">
        <v>72</v>
      </c>
      <c r="D65">
        <v>2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2</v>
      </c>
      <c r="P65">
        <v>2</v>
      </c>
      <c r="Q65">
        <v>2</v>
      </c>
      <c r="R65">
        <v>2</v>
      </c>
      <c r="S65">
        <v>3</v>
      </c>
      <c r="T65">
        <v>2</v>
      </c>
      <c r="U65">
        <v>2</v>
      </c>
      <c r="V65">
        <v>1</v>
      </c>
      <c r="W65">
        <v>0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</row>
    <row r="66" spans="1:29" x14ac:dyDescent="0.2">
      <c r="A66">
        <v>2</v>
      </c>
      <c r="B66">
        <v>2</v>
      </c>
      <c r="C66" t="s">
        <v>71</v>
      </c>
      <c r="D66">
        <v>3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2</v>
      </c>
      <c r="Q66">
        <v>1</v>
      </c>
      <c r="R66">
        <v>2</v>
      </c>
      <c r="S66">
        <v>3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</row>
    <row r="67" spans="1:29" x14ac:dyDescent="0.2">
      <c r="A67">
        <v>1</v>
      </c>
      <c r="B67">
        <v>1</v>
      </c>
      <c r="C67" t="s">
        <v>73</v>
      </c>
      <c r="D67">
        <v>2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>
        <v>2</v>
      </c>
      <c r="P67">
        <v>2</v>
      </c>
      <c r="Q67">
        <v>2</v>
      </c>
      <c r="R67">
        <v>2</v>
      </c>
      <c r="S67">
        <v>3</v>
      </c>
      <c r="T67">
        <v>2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1</v>
      </c>
      <c r="AB67">
        <v>2</v>
      </c>
      <c r="AC67">
        <v>1</v>
      </c>
    </row>
    <row r="68" spans="1:29" x14ac:dyDescent="0.2">
      <c r="A68">
        <v>5</v>
      </c>
      <c r="B68">
        <v>2</v>
      </c>
      <c r="C68" t="s">
        <v>73</v>
      </c>
      <c r="D68">
        <v>2</v>
      </c>
      <c r="E68">
        <v>1</v>
      </c>
      <c r="F68">
        <v>1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1</v>
      </c>
      <c r="S68">
        <v>1</v>
      </c>
      <c r="T68">
        <v>2</v>
      </c>
      <c r="U68">
        <v>1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1</v>
      </c>
    </row>
    <row r="69" spans="1:29" x14ac:dyDescent="0.2">
      <c r="A69">
        <v>1</v>
      </c>
      <c r="B69">
        <v>2</v>
      </c>
      <c r="C69" t="s">
        <v>75</v>
      </c>
      <c r="D69">
        <v>2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2</v>
      </c>
      <c r="P69">
        <v>1</v>
      </c>
      <c r="Q69">
        <v>2</v>
      </c>
      <c r="R69">
        <v>2</v>
      </c>
      <c r="S69">
        <v>3</v>
      </c>
      <c r="T69">
        <v>2</v>
      </c>
      <c r="U69">
        <v>2</v>
      </c>
      <c r="V69">
        <v>1</v>
      </c>
      <c r="W69">
        <v>0</v>
      </c>
      <c r="X69">
        <v>0</v>
      </c>
      <c r="Y69">
        <v>0</v>
      </c>
      <c r="Z69">
        <v>1</v>
      </c>
      <c r="AA69">
        <v>2</v>
      </c>
      <c r="AB69">
        <v>1</v>
      </c>
      <c r="AC69">
        <v>1</v>
      </c>
    </row>
    <row r="70" spans="1:29" x14ac:dyDescent="0.2">
      <c r="A70">
        <v>2</v>
      </c>
      <c r="B70">
        <v>2</v>
      </c>
      <c r="C70" t="s">
        <v>76</v>
      </c>
      <c r="D70">
        <v>3</v>
      </c>
      <c r="E70">
        <v>1</v>
      </c>
      <c r="F70">
        <v>1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2</v>
      </c>
      <c r="R70">
        <v>2</v>
      </c>
      <c r="S70">
        <v>3</v>
      </c>
      <c r="T70">
        <v>2</v>
      </c>
      <c r="U70">
        <v>3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1</v>
      </c>
      <c r="AC70">
        <v>1</v>
      </c>
    </row>
    <row r="71" spans="1:29" x14ac:dyDescent="0.2">
      <c r="A71">
        <v>1</v>
      </c>
      <c r="B71">
        <v>2</v>
      </c>
      <c r="C71" t="s">
        <v>77</v>
      </c>
      <c r="D71">
        <v>2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2</v>
      </c>
      <c r="Q71">
        <v>2</v>
      </c>
      <c r="R71">
        <v>2</v>
      </c>
      <c r="S71">
        <v>3</v>
      </c>
      <c r="T71">
        <v>2</v>
      </c>
      <c r="U71">
        <v>2</v>
      </c>
      <c r="V71">
        <v>1</v>
      </c>
      <c r="W71">
        <v>0</v>
      </c>
      <c r="X71">
        <v>1</v>
      </c>
      <c r="Y71">
        <v>0</v>
      </c>
      <c r="Z71">
        <v>1</v>
      </c>
      <c r="AA71">
        <v>1</v>
      </c>
      <c r="AB71">
        <v>1</v>
      </c>
      <c r="AC71">
        <v>1</v>
      </c>
    </row>
    <row r="72" spans="1:29" x14ac:dyDescent="0.2">
      <c r="A72">
        <v>1</v>
      </c>
      <c r="B72">
        <v>1</v>
      </c>
      <c r="C72" t="s">
        <v>36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2</v>
      </c>
      <c r="P72">
        <v>3</v>
      </c>
      <c r="Q72">
        <v>2</v>
      </c>
      <c r="R72">
        <v>2</v>
      </c>
      <c r="S72">
        <v>3</v>
      </c>
      <c r="T72">
        <v>2</v>
      </c>
      <c r="U72">
        <v>2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3</v>
      </c>
      <c r="AC72">
        <v>1</v>
      </c>
    </row>
    <row r="73" spans="1:29" x14ac:dyDescent="0.2">
      <c r="A73">
        <v>2</v>
      </c>
      <c r="B73">
        <v>1</v>
      </c>
      <c r="C73" t="s">
        <v>73</v>
      </c>
      <c r="D73">
        <v>2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0</v>
      </c>
      <c r="O73">
        <v>2</v>
      </c>
      <c r="P73">
        <v>3</v>
      </c>
      <c r="Q73">
        <v>2</v>
      </c>
      <c r="R73">
        <v>2</v>
      </c>
      <c r="S73">
        <v>3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2</v>
      </c>
      <c r="AC73">
        <v>1</v>
      </c>
    </row>
    <row r="74" spans="1:29" x14ac:dyDescent="0.2">
      <c r="A74">
        <v>2</v>
      </c>
      <c r="B74">
        <v>1</v>
      </c>
      <c r="C74" t="s">
        <v>78</v>
      </c>
      <c r="D74">
        <v>2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2</v>
      </c>
      <c r="P74">
        <v>1</v>
      </c>
      <c r="Q74">
        <v>2</v>
      </c>
      <c r="R74">
        <v>2</v>
      </c>
      <c r="S74">
        <v>3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 x14ac:dyDescent="0.2">
      <c r="A75">
        <v>2</v>
      </c>
      <c r="B75">
        <v>1</v>
      </c>
      <c r="C75" t="s">
        <v>50</v>
      </c>
      <c r="D75">
        <v>2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2</v>
      </c>
      <c r="R75">
        <v>2</v>
      </c>
      <c r="S75">
        <v>3</v>
      </c>
      <c r="T75">
        <v>2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2</v>
      </c>
      <c r="AC75">
        <v>1</v>
      </c>
    </row>
    <row r="76" spans="1:29" x14ac:dyDescent="0.2">
      <c r="A76">
        <v>4</v>
      </c>
      <c r="B76">
        <v>1</v>
      </c>
      <c r="C76" t="s">
        <v>44</v>
      </c>
      <c r="D76">
        <v>3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2</v>
      </c>
      <c r="P76">
        <v>3</v>
      </c>
      <c r="Q76">
        <v>2</v>
      </c>
      <c r="R76">
        <v>2</v>
      </c>
      <c r="S76">
        <v>3</v>
      </c>
      <c r="T76">
        <v>2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1</v>
      </c>
      <c r="AB76">
        <v>1</v>
      </c>
      <c r="AC76">
        <v>1</v>
      </c>
    </row>
    <row r="77" spans="1:29" x14ac:dyDescent="0.2">
      <c r="A77">
        <v>2</v>
      </c>
      <c r="B77">
        <v>1</v>
      </c>
      <c r="C77" t="s">
        <v>80</v>
      </c>
      <c r="D77">
        <v>2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v>2</v>
      </c>
      <c r="P77">
        <v>1</v>
      </c>
      <c r="Q77">
        <v>2</v>
      </c>
      <c r="R77">
        <v>2</v>
      </c>
      <c r="S77">
        <v>3</v>
      </c>
      <c r="T77">
        <v>2</v>
      </c>
      <c r="U77">
        <v>1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1</v>
      </c>
      <c r="AC77">
        <v>2</v>
      </c>
    </row>
    <row r="78" spans="1:29" x14ac:dyDescent="0.2">
      <c r="A78">
        <v>3</v>
      </c>
      <c r="B78">
        <v>1</v>
      </c>
      <c r="C78" t="s">
        <v>81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2</v>
      </c>
      <c r="P78">
        <v>3</v>
      </c>
      <c r="Q78">
        <v>1</v>
      </c>
      <c r="R78">
        <v>2</v>
      </c>
      <c r="S78">
        <v>3</v>
      </c>
      <c r="T78">
        <v>2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3</v>
      </c>
      <c r="AC78">
        <v>1</v>
      </c>
    </row>
    <row r="79" spans="1:29" x14ac:dyDescent="0.2">
      <c r="A79">
        <v>1</v>
      </c>
      <c r="B79">
        <v>1</v>
      </c>
      <c r="C79" t="s">
        <v>35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2</v>
      </c>
      <c r="P79">
        <v>2</v>
      </c>
      <c r="Q79">
        <v>1</v>
      </c>
      <c r="R79">
        <v>1</v>
      </c>
      <c r="S79">
        <v>1</v>
      </c>
      <c r="T79">
        <v>2</v>
      </c>
      <c r="U79">
        <v>2</v>
      </c>
      <c r="V79">
        <v>1</v>
      </c>
      <c r="W79">
        <v>0</v>
      </c>
      <c r="X79">
        <v>0</v>
      </c>
      <c r="Y79">
        <v>0</v>
      </c>
      <c r="Z79">
        <v>1</v>
      </c>
      <c r="AA79">
        <v>1</v>
      </c>
      <c r="AB79">
        <v>3</v>
      </c>
      <c r="AC79">
        <v>1</v>
      </c>
    </row>
    <row r="80" spans="1:29" x14ac:dyDescent="0.2">
      <c r="A80">
        <v>1</v>
      </c>
      <c r="B80">
        <v>1</v>
      </c>
      <c r="C80" t="s">
        <v>82</v>
      </c>
      <c r="D80">
        <v>3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1</v>
      </c>
      <c r="O80">
        <v>2</v>
      </c>
      <c r="P80">
        <v>3</v>
      </c>
      <c r="Q80">
        <v>2</v>
      </c>
      <c r="R80">
        <v>2</v>
      </c>
      <c r="S80">
        <v>3</v>
      </c>
      <c r="T80">
        <v>2</v>
      </c>
      <c r="U80">
        <v>4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 x14ac:dyDescent="0.2">
      <c r="A81">
        <v>2</v>
      </c>
      <c r="B81">
        <v>2</v>
      </c>
      <c r="C81" t="s">
        <v>83</v>
      </c>
      <c r="D81">
        <v>2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2</v>
      </c>
      <c r="P81">
        <v>3</v>
      </c>
      <c r="Q81">
        <v>2</v>
      </c>
      <c r="R81">
        <v>2</v>
      </c>
      <c r="S81">
        <v>3</v>
      </c>
      <c r="T81">
        <v>2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</v>
      </c>
      <c r="AC81">
        <v>1</v>
      </c>
    </row>
    <row r="82" spans="1:29" x14ac:dyDescent="0.2">
      <c r="A82">
        <v>2</v>
      </c>
      <c r="B82">
        <v>2</v>
      </c>
      <c r="C82" t="s">
        <v>68</v>
      </c>
      <c r="D82">
        <v>2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2</v>
      </c>
      <c r="P82">
        <v>2</v>
      </c>
      <c r="Q82">
        <v>2</v>
      </c>
      <c r="R82">
        <v>2</v>
      </c>
      <c r="S82">
        <v>3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1</v>
      </c>
      <c r="AA82">
        <v>1</v>
      </c>
      <c r="AB82">
        <v>1</v>
      </c>
      <c r="AC82">
        <v>1</v>
      </c>
    </row>
    <row r="83" spans="1:29" x14ac:dyDescent="0.2">
      <c r="A83">
        <v>2</v>
      </c>
      <c r="B83">
        <v>1</v>
      </c>
      <c r="C83" t="s">
        <v>57</v>
      </c>
      <c r="D83">
        <v>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2</v>
      </c>
      <c r="P83">
        <v>1</v>
      </c>
      <c r="Q83">
        <v>2</v>
      </c>
      <c r="R83">
        <v>2</v>
      </c>
      <c r="S83">
        <v>3</v>
      </c>
      <c r="T83">
        <v>2</v>
      </c>
      <c r="U83">
        <v>2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Adedayo Osifuye</cp:lastModifiedBy>
  <dcterms:modified xsi:type="dcterms:W3CDTF">2025-10-03T02:23:44Z</dcterms:modified>
</cp:coreProperties>
</file>